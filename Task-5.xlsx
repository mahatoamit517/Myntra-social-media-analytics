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data science\excel project\Notion\"/>
    </mc:Choice>
  </mc:AlternateContent>
  <xr:revisionPtr revIDLastSave="0" documentId="13_ncr:1_{B62A0798-B858-4045-9FE1-C6C896ED36CF}" xr6:coauthVersionLast="47" xr6:coauthVersionMax="47" xr10:uidLastSave="{00000000-0000-0000-0000-000000000000}"/>
  <bookViews>
    <workbookView xWindow="0" yWindow="300" windowWidth="20730" windowHeight="11160" firstSheet="1" activeTab="6" xr2:uid="{9D31FA2F-288F-464D-AABE-24E68F03E6E5}"/>
  </bookViews>
  <sheets>
    <sheet name="Post" sheetId="5" r:id="rId1"/>
    <sheet name="Engagment Summary" sheetId="2" r:id="rId2"/>
    <sheet name="Campaign Data" sheetId="4" r:id="rId3"/>
    <sheet name="Total&amp;Avg" sheetId="6" r:id="rId4"/>
    <sheet name="uplift" sheetId="8" r:id="rId5"/>
    <sheet name="ROI" sheetId="9" r:id="rId6"/>
    <sheet name="FollowerGrowth" sheetId="11" r:id="rId7"/>
  </sheets>
  <definedNames>
    <definedName name="_xlcn.WorksheetConnection_Task5.xlsxCampaign_Data1" hidden="1">'Campaign Data'!$A$1:$F$5</definedName>
    <definedName name="_xlcn.WorksheetConnection_Task5.xlsxPost51" hidden="1">Post5[]</definedName>
    <definedName name="ExternalData_2" localSheetId="0" hidden="1">Post!$A$1:$M$301</definedName>
    <definedName name="Slicer_Platform">#N/A</definedName>
  </definedNames>
  <calcPr calcId="191029"/>
  <pivotCaches>
    <pivotCache cacheId="5" r:id="rId8"/>
    <pivotCache cacheId="6" r:id="rId9"/>
    <pivotCache cacheId="7" r:id="rId10"/>
    <pivotCache cacheId="8"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ost5" name="Post5" connection="WorksheetConnection_Task-5.xlsx!Post5"/>
          <x15:modelTable id="Campaign_Data" name="Campaign_Data" connection="WorksheetConnection_Task-5.xlsx!Campaign_Data"/>
        </x15:modelTables>
        <x15:modelRelationships>
          <x15:modelRelationship fromTable="Post5" fromColumn="Campaign_Name" toTable="Campaign_Data" toColumn="Campaign_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1" l="1"/>
  <c r="D7" i="11"/>
  <c r="D8" i="11"/>
  <c r="D9" i="11"/>
  <c r="D10" i="11"/>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E5" i="9"/>
  <c r="E6" i="9"/>
  <c r="E7" i="9"/>
  <c r="E4" i="9"/>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611458-FF5F-4E48-9C56-FC3FB87029EA}" keepAlive="1" name="Query - Campaign Data" description="Connection to the 'Campaign Data' query in the workbook." type="5" refreshedVersion="8" background="1" saveData="1">
    <dbPr connection="Provider=Microsoft.Mashup.OleDb.1;Data Source=$Workbook$;Location=&quot;Campaign Data&quot;;Extended Properties=&quot;&quot;" command="SELECT * FROM [Campaign Data]"/>
  </connection>
  <connection id="2" xr16:uid="{8C1A665B-640F-441A-8602-3075A413B988}" keepAlive="1" name="Query - Engagment Summary" description="Connection to the 'Engagment Summary' query in the workbook." type="5" refreshedVersion="8" background="1" saveData="1">
    <dbPr connection="Provider=Microsoft.Mashup.OleDb.1;Data Source=$Workbook$;Location=&quot;Engagment Summary&quot;;Extended Properties=&quot;&quot;" command="SELECT * FROM [Engagment Summary]"/>
  </connection>
  <connection id="3" xr16:uid="{D00FD287-4592-464A-A7FD-2DD4B75128FF}" keepAlive="1" name="Query - Post" description="Connection to the 'Post' query in the workbook." type="5" refreshedVersion="8" background="1" saveData="1">
    <dbPr connection="Provider=Microsoft.Mashup.OleDb.1;Data Source=$Workbook$;Location=Post;Extended Properties=&quot;&quot;" command="SELECT * FROM [Post]"/>
  </connection>
  <connection id="4" xr16:uid="{D8587DD4-94AB-46A4-AFC9-E3DF35150846}" keepAlive="1" name="Query - Post (2)" description="Connection to the 'Post (2)' query in the workbook." type="5" refreshedVersion="8" background="1" saveData="1">
    <dbPr connection="Provider=Microsoft.Mashup.OleDb.1;Data Source=$Workbook$;Location=&quot;Post (2)&quot;;Extended Properties=&quot;&quot;" command="SELECT * FROM [Post (2)]"/>
  </connection>
  <connection id="5" xr16:uid="{5E10CD3C-42FB-4E58-9D4D-7FE4B842128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8E0E297F-C341-4AE9-85AE-8F80F39FCA64}" name="WorksheetConnection_Task-5.xlsx!Campaign_Data" type="102" refreshedVersion="8" minRefreshableVersion="5">
    <extLst>
      <ext xmlns:x15="http://schemas.microsoft.com/office/spreadsheetml/2010/11/main" uri="{DE250136-89BD-433C-8126-D09CA5730AF9}">
        <x15:connection id="Campaign_Data">
          <x15:rangePr sourceName="_xlcn.WorksheetConnection_Task5.xlsxCampaign_Data1"/>
        </x15:connection>
      </ext>
    </extLst>
  </connection>
  <connection id="7" xr16:uid="{3280C4D2-6629-4E88-B30A-EB51845C6CC3}" name="WorksheetConnection_Task-5.xlsx!Post5" type="102" refreshedVersion="8" minRefreshableVersion="5">
    <extLst>
      <ext xmlns:x15="http://schemas.microsoft.com/office/spreadsheetml/2010/11/main" uri="{DE250136-89BD-433C-8126-D09CA5730AF9}">
        <x15:connection id="Post5">
          <x15:rangePr sourceName="_xlcn.WorksheetConnection_Task5.xlsxPost51"/>
        </x15:connection>
      </ext>
    </extLst>
  </connection>
</connections>
</file>

<file path=xl/sharedStrings.xml><?xml version="1.0" encoding="utf-8"?>
<sst xmlns="http://schemas.openxmlformats.org/spreadsheetml/2006/main" count="2086" uniqueCount="391">
  <si>
    <t>Week_Start_Date</t>
  </si>
  <si>
    <t>Platform</t>
  </si>
  <si>
    <t>New_Followers</t>
  </si>
  <si>
    <t>Unfollows</t>
  </si>
  <si>
    <t>Total_Followers</t>
  </si>
  <si>
    <t>Engagement_Rate</t>
  </si>
  <si>
    <t>Ad_Spend</t>
  </si>
  <si>
    <t>Instagram</t>
  </si>
  <si>
    <t>Facebook</t>
  </si>
  <si>
    <t>Twitter</t>
  </si>
  <si>
    <t>YouTube</t>
  </si>
  <si>
    <t>Post ID</t>
  </si>
  <si>
    <t>Date</t>
  </si>
  <si>
    <t>Content Type</t>
  </si>
  <si>
    <t>Post Text</t>
  </si>
  <si>
    <t>Likes</t>
  </si>
  <si>
    <t>Shares</t>
  </si>
  <si>
    <t>Comments</t>
  </si>
  <si>
    <t>Impressions</t>
  </si>
  <si>
    <t>Reach</t>
  </si>
  <si>
    <t>Clicks</t>
  </si>
  <si>
    <t>Campaign_Name</t>
  </si>
  <si>
    <t>P001</t>
  </si>
  <si>
    <t>Reel</t>
  </si>
  <si>
    <t>Explore the latest reel on Myntra! Trendy styles await.</t>
  </si>
  <si>
    <t>#MyntraSale</t>
  </si>
  <si>
    <t>FashionUpgrade</t>
  </si>
  <si>
    <t>P002</t>
  </si>
  <si>
    <t>Text</t>
  </si>
  <si>
    <t>Explore the latest text on Myntra! Trendy styles await.</t>
  </si>
  <si>
    <t>#MyntraFashion</t>
  </si>
  <si>
    <t>EndOfSeasonSale</t>
  </si>
  <si>
    <t>P003</t>
  </si>
  <si>
    <t>P004</t>
  </si>
  <si>
    <t>Story</t>
  </si>
  <si>
    <t>Explore the latest story on Myntra! Trendy styles await.</t>
  </si>
  <si>
    <t>P005</t>
  </si>
  <si>
    <t>#StyleWithMyntra</t>
  </si>
  <si>
    <t>MyntraFestiveEdit</t>
  </si>
  <si>
    <t>P006</t>
  </si>
  <si>
    <t>Carousel</t>
  </si>
  <si>
    <t>Explore the latest carousel on Myntra! Trendy styles await.</t>
  </si>
  <si>
    <t>#MyntraTrend</t>
  </si>
  <si>
    <t>P007</t>
  </si>
  <si>
    <t>P008</t>
  </si>
  <si>
    <t>Image</t>
  </si>
  <si>
    <t>Explore the latest image on Myntra! Trendy styles await.</t>
  </si>
  <si>
    <t>P009</t>
  </si>
  <si>
    <t>P010</t>
  </si>
  <si>
    <t>StyleRevolution</t>
  </si>
  <si>
    <t>P011</t>
  </si>
  <si>
    <t>P012</t>
  </si>
  <si>
    <t>P013</t>
  </si>
  <si>
    <t>P014</t>
  </si>
  <si>
    <t>P015</t>
  </si>
  <si>
    <t>Video</t>
  </si>
  <si>
    <t>Explore the latest video on Myntra! Trendy styles await.</t>
  </si>
  <si>
    <t>#FashionDeals</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</si>
  <si>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</si>
  <si>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</si>
  <si>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</si>
  <si>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</si>
  <si>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</si>
  <si>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</si>
  <si>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</si>
  <si>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</si>
  <si>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</si>
  <si>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</si>
  <si>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</si>
  <si>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</si>
  <si>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</si>
  <si>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</si>
  <si>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</si>
  <si>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</si>
  <si>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</si>
  <si>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</si>
  <si>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</si>
  <si>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</si>
  <si>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</si>
  <si>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</si>
  <si>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</si>
  <si>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</si>
  <si>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</si>
  <si>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</si>
  <si>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</si>
  <si>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</si>
  <si>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</si>
  <si>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</si>
  <si>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</si>
  <si>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</si>
  <si>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</si>
  <si>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</si>
  <si>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</si>
  <si>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</si>
  <si>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</si>
  <si>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</si>
  <si>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</si>
  <si>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</si>
  <si>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</si>
  <si>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</si>
  <si>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</si>
  <si>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</si>
  <si>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</si>
  <si>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</si>
  <si>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</si>
  <si>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</si>
  <si>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</si>
  <si>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</si>
  <si>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</si>
  <si>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</si>
  <si>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</si>
  <si>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</si>
  <si>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</si>
  <si>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</si>
  <si>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</si>
  <si>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</si>
  <si>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</si>
  <si>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</si>
  <si>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</si>
  <si>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</si>
  <si>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</si>
  <si>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</si>
  <si>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</si>
  <si>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</si>
  <si>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</si>
  <si>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</si>
  <si>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</si>
  <si>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</si>
  <si>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</si>
  <si>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</si>
  <si>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</si>
  <si>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</si>
  <si>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</si>
  <si>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</si>
  <si>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</si>
  <si>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</si>
  <si>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</si>
  <si>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</si>
  <si>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</si>
  <si>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</si>
  <si>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</si>
  <si>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</si>
  <si>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</si>
  <si>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</si>
  <si>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</si>
  <si>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</si>
  <si>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</si>
  <si>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</si>
  <si>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</si>
  <si>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</si>
  <si>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</si>
  <si>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</si>
  <si>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</si>
  <si>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</si>
  <si>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</si>
  <si>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</si>
  <si>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</si>
  <si>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</si>
  <si>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</si>
  <si>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</si>
  <si>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</si>
  <si>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</si>
  <si>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</si>
  <si>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</si>
  <si>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</si>
  <si>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</si>
  <si>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</si>
  <si>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</si>
  <si>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</si>
  <si>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</si>
  <si>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</si>
  <si>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</si>
  <si>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</si>
  <si>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</si>
  <si>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</si>
  <si>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</si>
  <si>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</si>
  <si>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</si>
  <si>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</si>
  <si>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</si>
  <si>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</si>
  <si>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</si>
  <si>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</si>
  <si>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</si>
  <si>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</si>
  <si>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</si>
  <si>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</si>
  <si>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</si>
  <si>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</si>
  <si>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</si>
  <si>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</si>
  <si>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</si>
  <si>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</si>
  <si>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</si>
  <si>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</si>
  <si>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</si>
  <si>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</si>
  <si>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</si>
  <si>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</si>
  <si>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</si>
  <si>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</si>
  <si>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</si>
  <si>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</si>
  <si>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</si>
  <si>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</si>
  <si>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</si>
  <si>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</si>
  <si>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</si>
  <si>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</si>
  <si>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</si>
  <si>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</si>
  <si>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</si>
  <si>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</si>
  <si>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</si>
  <si>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</si>
  <si>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</si>
  <si>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</si>
  <si>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</si>
  <si>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</si>
  <si>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</si>
  <si>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</si>
  <si>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</si>
  <si>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</si>
  <si>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</si>
  <si>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</si>
  <si>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</si>
  <si>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</si>
  <si>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</si>
  <si>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</si>
  <si>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</si>
  <si>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</si>
  <si>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</si>
  <si>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</si>
  <si>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</si>
  <si>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</si>
  <si>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</si>
  <si>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</si>
  <si>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</si>
  <si>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</si>
  <si>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</si>
  <si>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</si>
  <si>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</si>
  <si>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</si>
  <si>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</si>
  <si>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</si>
  <si>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</si>
  <si>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</si>
  <si>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</si>
  <si>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</si>
  <si>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</si>
  <si>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</si>
  <si>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</si>
  <si>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</si>
  <si>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</si>
  <si>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</si>
  <si>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</si>
  <si>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</si>
  <si>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</si>
  <si>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</si>
  <si>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</si>
  <si>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</si>
  <si>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</si>
  <si>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</si>
  <si>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</si>
  <si>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</si>
  <si>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</si>
  <si>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</si>
  <si>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</si>
  <si>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</si>
  <si>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</si>
  <si>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</si>
  <si>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</si>
  <si>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</si>
  <si>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</si>
  <si>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</si>
  <si>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</si>
  <si>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</si>
  <si>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</si>
  <si>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</si>
  <si>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</si>
  <si>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</si>
  <si>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</si>
  <si>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</si>
  <si>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</si>
  <si>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</si>
  <si>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</si>
  <si>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</si>
  <si>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</si>
  <si>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</si>
  <si>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</si>
  <si>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</si>
  <si>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</si>
  <si>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</si>
  <si>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</si>
  <si>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</si>
  <si>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</si>
  <si>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</si>
  <si>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</si>
  <si>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</si>
  <si>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</si>
  <si>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</si>
  <si>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</si>
  <si>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</si>
  <si>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</si>
  <si>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</si>
  <si>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</si>
  <si>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</si>
  <si>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</si>
  <si>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</si>
  <si>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</si>
  <si>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</si>
  <si>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</si>
  <si>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</si>
  <si>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</si>
  <si>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</si>
  <si>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</si>
  <si>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</si>
  <si>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</si>
  <si>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</si>
  <si>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</si>
  <si>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</si>
  <si>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</si>
  <si>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</si>
  <si>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</si>
  <si>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</si>
  <si>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</si>
  <si>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</si>
  <si>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</si>
  <si>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</si>
  <si>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</si>
  <si>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</si>
  <si>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</si>
  <si>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</si>
  <si>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</si>
  <si>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</si>
  <si>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</si>
  <si>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</si>
  <si>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</si>
  <si>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</si>
  <si>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</si>
  <si>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</si>
  <si>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</si>
  <si>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</si>
  <si>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Start_Date</t>
  </si>
  <si>
    <t>End_Date</t>
  </si>
  <si>
    <t>Objective</t>
  </si>
  <si>
    <t>Total_Budget</t>
  </si>
  <si>
    <t>Target_Platforms</t>
  </si>
  <si>
    <t>Seasonal Clearance Promotion</t>
  </si>
  <si>
    <t>Instagram,Facebook</t>
  </si>
  <si>
    <t>Customer Engagement</t>
  </si>
  <si>
    <t>Instagram,YouTube</t>
  </si>
  <si>
    <t>Festive Collection Launch</t>
  </si>
  <si>
    <t>Facebook,Instagram</t>
  </si>
  <si>
    <t>Brand Awareness &amp; Growth</t>
  </si>
  <si>
    <t>Instagram,Twitter</t>
  </si>
  <si>
    <t>Hashtags Used</t>
  </si>
  <si>
    <t>Row Labels</t>
  </si>
  <si>
    <t>Sum of Impressions</t>
  </si>
  <si>
    <t>Average of Impressions2</t>
  </si>
  <si>
    <t>Sum of Likes</t>
  </si>
  <si>
    <t>Average of Likes2</t>
  </si>
  <si>
    <t>Sum of Clicks</t>
  </si>
  <si>
    <t>Average of Clicks2</t>
  </si>
  <si>
    <t>Total &amp; Average Impressions, Likes, Clicks per Campaign.</t>
  </si>
  <si>
    <t>After</t>
  </si>
  <si>
    <t>Before</t>
  </si>
  <si>
    <t>During</t>
  </si>
  <si>
    <t>Average of Engagement_Rate</t>
  </si>
  <si>
    <t>Campaign_flag</t>
  </si>
  <si>
    <t>Campaigns increased engagement.</t>
  </si>
  <si>
    <t>Note: I have used PowerPivot to create a relationship between post data and campaign data ,you can see it from clicking to PowerPivot and then go to Manage.</t>
  </si>
  <si>
    <t>Engagement</t>
  </si>
  <si>
    <t>Sum of Engagement</t>
  </si>
  <si>
    <t>Sum of Total_Budget</t>
  </si>
  <si>
    <t>ROI</t>
  </si>
  <si>
    <t>ROI=sumofEngagement/sumofTotalBudget</t>
  </si>
  <si>
    <t>Engagement=sum(likes+comment+share)</t>
  </si>
  <si>
    <t>Note:</t>
  </si>
  <si>
    <t>FashionUpgrade has the highest ROI among all the campaigns.</t>
  </si>
  <si>
    <t>Campaign_name</t>
  </si>
  <si>
    <t>Formula used:
Campaign name=IF(AND(A2&gt;='Campaign Data'!$B$2,'Engagment Summary'!A2&lt;='Campaign Data'!$C$2),"EndofSeasonSale",IF(AND(A2&gt;='Campaign Data'!$B$3,A2&lt;='Campaign Data'!$C$3),"FashionUpgrade",IF(AND(A2&gt;='Campaign Data'!$B$4,A2&lt;='Campaign Data'!$C$4),"MyntraFestiveEdit",IF(AND(A2&gt;='Campaign Data'!$B$5,A2&lt;='Campaign Data'!$C$5),"StyleRevolution","No Campaign"))))</t>
  </si>
  <si>
    <t>EndofSeasonSale</t>
  </si>
  <si>
    <t>No Campaign</t>
  </si>
  <si>
    <t>Max of Total_Followers</t>
  </si>
  <si>
    <t>Min of Total_Followers</t>
  </si>
  <si>
    <t>Follower_Growth</t>
  </si>
  <si>
    <t>Formula Used:
Engagement= Likes+Share+Comments</t>
  </si>
  <si>
    <t>Formula used:
Follower Growth= Max-Min</t>
  </si>
  <si>
    <t>Direct campaign-level follower data was not available in the dataset. 
Therefore, follower growth was analyzed at the platform level during major campaign periods.</t>
  </si>
  <si>
    <t>Follower impact was analyzed indirectly due to data limitations.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</si>
</sst>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6" x14ac:knownFonts="1">
    <font>
      <sz val="11"/>
      <color theme="1"/>
      <name val="Aptos Narrow"/>
      <family val="2"/>
      <scheme val="minor"/>
    </font>
    <font>
      <b/>
      <sz val="20"/>
      <color theme="1"/>
      <name val="Aptos Narrow"/>
      <family val="2"/>
      <scheme val="minor"/>
    </font>
    <font>
      <sz val="14"/>
      <color theme="1"/>
      <name val="Aptos Narrow"/>
      <family val="2"/>
      <scheme val="minor"/>
    </font>
    <font>
      <b/>
      <sz val="14"/>
      <color theme="1"/>
      <name val="Aptos Narrow"/>
      <family val="2"/>
      <scheme val="minor"/>
    </font>
    <font>
      <b/>
      <sz val="11"/>
      <color theme="0"/>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37">
    <xf numFmtId="0" fontId="0" fillId="0" borderId="0" xfId="0"/>
    <xf numFmtId="14" fontId="0" fillId="0" borderId="0" xfId="0" applyNumberFormat="1"/>
    <xf numFmtId="0" fontId="1" fillId="0" borderId="0" xfId="0" applyFont="1"/>
    <xf numFmtId="0" fontId="2" fillId="0" borderId="0" xfId="0" applyFont="1"/>
    <xf numFmtId="0" fontId="0" fillId="0" borderId="0" xfId="0" pivotButton="1"/>
    <xf numFmtId="0" fontId="0" fillId="0" borderId="0" xfId="0" applyAlignment="1">
      <alignment horizontal="left"/>
    </xf>
    <xf numFmtId="0" fontId="3" fillId="0" borderId="0" xfId="0" applyFont="1"/>
    <xf numFmtId="10" fontId="0" fillId="0" borderId="0" xfId="0" applyNumberFormat="1"/>
    <xf numFmtId="164" fontId="0" fillId="0" borderId="0" xfId="0" applyNumberFormat="1"/>
    <xf numFmtId="0" fontId="0" fillId="0" borderId="2" xfId="0" applyBorder="1"/>
    <xf numFmtId="0" fontId="0" fillId="0" borderId="3" xfId="0" applyBorder="1"/>
    <xf numFmtId="0" fontId="0" fillId="0" borderId="1" xfId="0" applyBorder="1"/>
    <xf numFmtId="0" fontId="0" fillId="0" borderId="0" xfId="0" applyAlignment="1">
      <alignment horizontal="center" wrapText="1"/>
    </xf>
    <xf numFmtId="0" fontId="5" fillId="0" borderId="0" xfId="0" applyFont="1"/>
    <xf numFmtId="2" fontId="0" fillId="0" borderId="0" xfId="0" applyNumberFormat="1"/>
    <xf numFmtId="0" fontId="4" fillId="2" borderId="4" xfId="0" applyFont="1" applyFill="1" applyBorder="1"/>
    <xf numFmtId="0" fontId="4" fillId="2" borderId="5" xfId="0" applyFont="1" applyFill="1" applyBorder="1"/>
    <xf numFmtId="0" fontId="4" fillId="2" borderId="6" xfId="0" applyFont="1" applyFill="1" applyBorder="1"/>
    <xf numFmtId="0" fontId="0" fillId="3" borderId="4" xfId="0" applyFill="1" applyBorder="1"/>
    <xf numFmtId="0" fontId="0" fillId="3" borderId="5" xfId="0" applyFill="1" applyBorder="1"/>
    <xf numFmtId="0" fontId="0" fillId="3" borderId="6" xfId="0" applyFill="1" applyBorder="1"/>
    <xf numFmtId="0" fontId="0" fillId="0" borderId="4" xfId="0" applyBorder="1"/>
    <xf numFmtId="0" fontId="0" fillId="0" borderId="5" xfId="0" applyBorder="1"/>
    <xf numFmtId="0" fontId="0" fillId="0" borderId="6" xfId="0" applyBorder="1"/>
    <xf numFmtId="14" fontId="0" fillId="3" borderId="5" xfId="0" applyNumberFormat="1" applyFill="1" applyBorder="1"/>
    <xf numFmtId="14" fontId="0" fillId="0" borderId="5" xfId="0" applyNumberFormat="1" applyBorder="1"/>
    <xf numFmtId="14" fontId="0" fillId="0" borderId="2" xfId="0" applyNumberFormat="1" applyBorder="1"/>
    <xf numFmtId="14" fontId="0" fillId="3" borderId="4" xfId="0" applyNumberFormat="1" applyFill="1" applyBorder="1"/>
    <xf numFmtId="14" fontId="0" fillId="0" borderId="4" xfId="0" applyNumberFormat="1" applyBorder="1"/>
    <xf numFmtId="14" fontId="0" fillId="0" borderId="1" xfId="0" applyNumberFormat="1" applyBorder="1"/>
    <xf numFmtId="0" fontId="5" fillId="4" borderId="0" xfId="0" applyFont="1" applyFill="1"/>
    <xf numFmtId="0" fontId="5" fillId="4" borderId="0" xfId="0" applyFont="1" applyFill="1" applyAlignment="1">
      <alignment wrapText="1"/>
    </xf>
    <xf numFmtId="0" fontId="0" fillId="4" borderId="0" xfId="0" applyFill="1" applyAlignment="1">
      <alignment wrapText="1"/>
    </xf>
    <xf numFmtId="0" fontId="0" fillId="4" borderId="0" xfId="0" applyFill="1" applyAlignment="1">
      <alignment horizontal="center" wrapText="1"/>
    </xf>
    <xf numFmtId="0" fontId="3" fillId="4" borderId="0" xfId="0" applyFont="1" applyFill="1"/>
    <xf numFmtId="0" fontId="5" fillId="4" borderId="0" xfId="0" applyFont="1" applyFill="1"/>
    <xf numFmtId="0" fontId="5" fillId="4" borderId="0" xfId="0" applyFont="1" applyFill="1" applyAlignment="1">
      <alignment wrapText="1"/>
    </xf>
  </cellXfs>
  <cellStyles count="1">
    <cellStyle name="Normal" xfId="0" builtinId="0"/>
  </cellStyles>
  <dxfs count="9">
    <dxf>
      <numFmt numFmtId="0" formatCode="General"/>
    </dxf>
    <dxf>
      <numFmt numFmtId="14" formatCode="0.00%"/>
    </dxf>
    <dxf>
      <numFmt numFmtId="0" formatCode="General"/>
    </dxf>
    <dxf>
      <numFmt numFmtId="0" formatCode="General"/>
    </dxf>
    <dxf>
      <numFmt numFmtId="0" formatCode="General"/>
    </dxf>
    <dxf>
      <numFmt numFmtId="0" formatCode="General"/>
    </dxf>
    <dxf>
      <numFmt numFmtId="165"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3.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oneCell">
    <xdr:from>
      <xdr:col>5</xdr:col>
      <xdr:colOff>371475</xdr:colOff>
      <xdr:row>4</xdr:row>
      <xdr:rowOff>85725</xdr:rowOff>
    </xdr:from>
    <xdr:to>
      <xdr:col>8</xdr:col>
      <xdr:colOff>333375</xdr:colOff>
      <xdr:row>13</xdr:row>
      <xdr:rowOff>133350</xdr:rowOff>
    </xdr:to>
    <mc:AlternateContent xmlns:mc="http://schemas.openxmlformats.org/markup-compatibility/2006">
      <mc:Choice xmlns:a14="http://schemas.microsoft.com/office/drawing/2010/main" Requires="a14">
        <xdr:graphicFrame macro="">
          <xdr:nvGraphicFramePr>
            <xdr:cNvPr id="2" name="Platform">
              <a:extLst>
                <a:ext uri="{FF2B5EF4-FFF2-40B4-BE49-F238E27FC236}">
                  <a16:creationId xmlns:a16="http://schemas.microsoft.com/office/drawing/2014/main" id="{71B4A9EF-77CF-17FC-923A-F9B5698A67BD}"/>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6038850" y="885825"/>
              <a:ext cx="1790700" cy="1762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UMAR" refreshedDate="46009.32548472222" createdVersion="8" refreshedVersion="8" minRefreshableVersion="3" recordCount="300" xr:uid="{6D5C3602-ABB4-4F74-BEDA-ADA408C1484E}">
  <cacheSource type="worksheet">
    <worksheetSource name="Post5"/>
  </cacheSource>
  <cacheFields count="13">
    <cacheField name="Post ID" numFmtId="0">
      <sharedItems/>
    </cacheField>
    <cacheField name="Platform" numFmtId="0">
      <sharedItems/>
    </cacheField>
    <cacheField name="Date" numFmtId="14">
      <sharedItems containsSemiMixedTypes="0" containsNonDate="0" containsDate="1" containsString="0" minDate="2024-06-01T00:00:00" maxDate="2025-05-15T00:00:00"/>
    </cacheField>
    <cacheField name="Content Type" numFmtId="0">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acheField>
    <cacheField name="Campaign_Name" numFmtId="0">
      <sharedItems count="4">
        <s v="FashionUpgrade"/>
        <s v="EndOfSeasonSale"/>
        <s v="MyntraFestiveEdit"/>
        <s v="StyleRevolutio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KUMAR" refreshedDate="46009.411712847221" createdVersion="5" refreshedVersion="8" minRefreshableVersion="3" recordCount="0" supportSubquery="1" supportAdvancedDrill="1" xr:uid="{AAC223B2-2703-4090-830A-DAC857421A3B}">
  <cacheSource type="external" connectionId="5"/>
  <cacheFields count="2">
    <cacheField name="[Post5].[Campaign_Flag].[Campaign_Flag]" caption="Campaign_Flag" numFmtId="0" hierarchy="22" level="1">
      <sharedItems count="3">
        <s v="After"/>
        <s v="Before"/>
        <s v="During"/>
      </sharedItems>
    </cacheField>
    <cacheField name="[Measures].[Average of Engagement_Rate]" caption="Average of Engagement_Rate" numFmtId="0" hierarchy="28" level="32767"/>
  </cacheFields>
  <cacheHierarchies count="31">
    <cacheHierarchy uniqueName="[Campaign_Data].[Campaign_Name]" caption="Campaign_Name" attribute="1" defaultMemberUniqueName="[Campaign_Data].[Campaign_Name].[All]" allUniqueName="[Campaign_Data].[Campaign_Name].[All]" dimensionUniqueName="[Campaign_Data]" displayFolder="" count="0" memberValueDatatype="130" unbalanced="0"/>
    <cacheHierarchy uniqueName="[Campaign_Data].[Start_Date]" caption="Start_Date" attribute="1" time="1" defaultMemberUniqueName="[Campaign_Data].[Start_Date].[All]" allUniqueName="[Campaign_Data].[Start_Date].[All]" dimensionUniqueName="[Campaign_Data]" displayFolder="" count="0" memberValueDatatype="7" unbalanced="0"/>
    <cacheHierarchy uniqueName="[Campaign_Data].[End_Date]" caption="End_Date" attribute="1" time="1" defaultMemberUniqueName="[Campaign_Data].[End_Date].[All]" allUniqueName="[Campaign_Data].[End_Date].[All]" dimensionUniqueName="[Campaign_Data]" displayFolder="" count="0" memberValueDatatype="7" unbalanced="0"/>
    <cacheHierarchy uniqueName="[Campaign_Data].[Objective]" caption="Objective" attribute="1" defaultMemberUniqueName="[Campaign_Data].[Objective].[All]" allUniqueName="[Campaign_Data].[Objective].[All]" dimensionUniqueName="[Campaign_Data]" displayFolder="" count="0" memberValueDatatype="130" unbalanced="0"/>
    <cacheHierarchy uniqueName="[Campaign_Data].[Total_Budget]" caption="Total_Budget" attribute="1" defaultMemberUniqueName="[Campaign_Data].[Total_Budget].[All]" allUniqueName="[Campaign_Data].[Total_Budget].[All]" dimensionUniqueName="[Campaign_Data]" displayFolder="" count="0" memberValueDatatype="20" unbalanced="0"/>
    <cacheHierarchy uniqueName="[Campaign_Data].[Target_Platforms]" caption="Target_Platforms" attribute="1" defaultMemberUniqueName="[Campaign_Data].[Target_Platforms].[All]" allUniqueName="[Campaign_Data].[Target_Platforms].[All]" dimensionUniqueName="[Campaign_Data]" displayFolder="" count="0" memberValueDatatype="130" unbalanced="0"/>
    <cacheHierarchy uniqueName="[Post5].[Post ID]" caption="Post ID" attribute="1" defaultMemberUniqueName="[Post5].[Post ID].[All]" allUniqueName="[Post5].[Post ID].[All]" dimensionUniqueName="[Post5]" displayFolder="" count="0" memberValueDatatype="130" unbalanced="0"/>
    <cacheHierarchy uniqueName="[Post5].[Platform]" caption="Platform" attribute="1" defaultMemberUniqueName="[Post5].[Platform].[All]" allUniqueName="[Post5].[Platform].[All]" dimensionUniqueName="[Post5]" displayFolder="" count="0" memberValueDatatype="130" unbalanced="0"/>
    <cacheHierarchy uniqueName="[Post5].[Date]" caption="Date" attribute="1" time="1" defaultMemberUniqueName="[Post5].[Date].[All]" allUniqueName="[Post5].[Date].[All]" dimensionUniqueName="[Post5]" displayFolder="" count="0" memberValueDatatype="7" unbalanced="0"/>
    <cacheHierarchy uniqueName="[Post5].[Content Type]" caption="Content Type" attribute="1" defaultMemberUniqueName="[Post5].[Content Type].[All]" allUniqueName="[Post5].[Content Type].[All]" dimensionUniqueName="[Post5]" displayFolder="" count="0" memberValueDatatype="130" unbalanced="0"/>
    <cacheHierarchy uniqueName="[Post5].[Post Text]" caption="Post Text" attribute="1" defaultMemberUniqueName="[Post5].[Post Text].[All]" allUniqueName="[Post5].[Post Text].[All]" dimensionUniqueName="[Post5]" displayFolder="" count="0" memberValueDatatype="130" unbalanced="0"/>
    <cacheHierarchy uniqueName="[Post5].[Likes]" caption="Likes" attribute="1" defaultMemberUniqueName="[Post5].[Likes].[All]" allUniqueName="[Post5].[Likes].[All]" dimensionUniqueName="[Post5]" displayFolder="" count="0" memberValueDatatype="20" unbalanced="0"/>
    <cacheHierarchy uniqueName="[Post5].[Shares]" caption="Shares" attribute="1" defaultMemberUniqueName="[Post5].[Shares].[All]" allUniqueName="[Post5].[Shares].[All]" dimensionUniqueName="[Post5]" displayFolder="" count="0" memberValueDatatype="20" unbalanced="0"/>
    <cacheHierarchy uniqueName="[Post5].[Comments]" caption="Comments" attribute="1" defaultMemberUniqueName="[Post5].[Comments].[All]" allUniqueName="[Post5].[Comments].[All]" dimensionUniqueName="[Post5]" displayFolder="" count="0" memberValueDatatype="20" unbalanced="0"/>
    <cacheHierarchy uniqueName="[Post5].[Impressions]" caption="Impressions" attribute="1" defaultMemberUniqueName="[Post5].[Impressions].[All]" allUniqueName="[Post5].[Impressions].[All]" dimensionUniqueName="[Post5]" displayFolder="" count="0" memberValueDatatype="20" unbalanced="0"/>
    <cacheHierarchy uniqueName="[Post5].[Reach]" caption="Reach" attribute="1" defaultMemberUniqueName="[Post5].[Reach].[All]" allUniqueName="[Post5].[Reach].[All]" dimensionUniqueName="[Post5]" displayFolder="" count="0" memberValueDatatype="20" unbalanced="0"/>
    <cacheHierarchy uniqueName="[Post5].[Clicks]" caption="Clicks" attribute="1" defaultMemberUniqueName="[Post5].[Clicks].[All]" allUniqueName="[Post5].[Clicks].[All]" dimensionUniqueName="[Post5]" displayFolder="" count="0" memberValueDatatype="20" unbalanced="0"/>
    <cacheHierarchy uniqueName="[Post5].[Hashtags Used]" caption="Hashtags Used" attribute="1" defaultMemberUniqueName="[Post5].[Hashtags Used].[All]" allUniqueName="[Post5].[Hashtags Used].[All]" dimensionUniqueName="[Post5]" displayFolder="" count="0" memberValueDatatype="130" unbalanced="0"/>
    <cacheHierarchy uniqueName="[Post5].[Campaign_Name]" caption="Campaign_Name" attribute="1" defaultMemberUniqueName="[Post5].[Campaign_Name].[All]" allUniqueName="[Post5].[Campaign_Name].[All]" dimensionUniqueName="[Post5]" displayFolder="" count="0" memberValueDatatype="130" unbalanced="0"/>
    <cacheHierarchy uniqueName="[Post5].[Engagement_Rate]" caption="Engagement_Rate" attribute="1" defaultMemberUniqueName="[Post5].[Engagement_Rate].[All]" allUniqueName="[Post5].[Engagement_Rate].[All]" dimensionUniqueName="[Post5]" displayFolder="" count="0" memberValueDatatype="5" unbalanced="0"/>
    <cacheHierarchy uniqueName="[Post5].[Start_date]" caption="Start_date" attribute="1" time="1" defaultMemberUniqueName="[Post5].[Start_date].[All]" allUniqueName="[Post5].[Start_date].[All]" dimensionUniqueName="[Post5]" displayFolder="" count="0" memberValueDatatype="7" unbalanced="0"/>
    <cacheHierarchy uniqueName="[Post5].[End_date]" caption="End_date" attribute="1" time="1" defaultMemberUniqueName="[Post5].[End_date].[All]" allUniqueName="[Post5].[End_date].[All]" dimensionUniqueName="[Post5]" displayFolder="" count="0" memberValueDatatype="7" unbalanced="0"/>
    <cacheHierarchy uniqueName="[Post5].[Campaign_Flag]" caption="Campaign_Flag" attribute="1" defaultMemberUniqueName="[Post5].[Campaign_Flag].[All]" allUniqueName="[Post5].[Campaign_Flag].[All]" dimensionUniqueName="[Post5]" displayFolder="" count="2" memberValueDatatype="130" unbalanced="0">
      <fieldsUsage count="2">
        <fieldUsage x="-1"/>
        <fieldUsage x="0"/>
      </fieldsUsage>
    </cacheHierarchy>
    <cacheHierarchy uniqueName="[Post5].[Engagement]" caption="Engagement" attribute="1" defaultMemberUniqueName="[Post5].[Engagement].[All]" allUniqueName="[Post5].[Engagement].[All]" dimensionUniqueName="[Post5]" displayFolder="" count="0" memberValueDatatype="20" unbalanced="0"/>
    <cacheHierarchy uniqueName="[Measures].[__XL_Count Campaign_Data]" caption="__XL_Count Campaign_Data" measure="1" displayFolder="" measureGroup="Campaign_Data" count="0" hidden="1"/>
    <cacheHierarchy uniqueName="[Measures].[__XL_Count Post5]" caption="__XL_Count Post5" measure="1" displayFolder="" measureGroup="Post5" count="0" hidden="1"/>
    <cacheHierarchy uniqueName="[Measures].[__No measures defined]" caption="__No measures defined" measure="1" displayFolder="" count="0" hidden="1"/>
    <cacheHierarchy uniqueName="[Measures].[Sum of Engagement_Rate]" caption="Sum of Engagement_Rate" measure="1" displayFolder="" measureGroup="Post5" count="0" hidden="1">
      <extLst>
        <ext xmlns:x15="http://schemas.microsoft.com/office/spreadsheetml/2010/11/main" uri="{B97F6D7D-B522-45F9-BDA1-12C45D357490}">
          <x15:cacheHierarchy aggregatedColumn="19"/>
        </ext>
      </extLst>
    </cacheHierarchy>
    <cacheHierarchy uniqueName="[Measures].[Average of Engagement_Rate]" caption="Average of Engagement_Rate" measure="1" displayFolder="" measureGroup="Post5"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Engagement]" caption="Sum of Engagement" measure="1" displayFolder="" measureGroup="Post5" count="0" hidden="1">
      <extLst>
        <ext xmlns:x15="http://schemas.microsoft.com/office/spreadsheetml/2010/11/main" uri="{B97F6D7D-B522-45F9-BDA1-12C45D357490}">
          <x15:cacheHierarchy aggregatedColumn="23"/>
        </ext>
      </extLst>
    </cacheHierarchy>
    <cacheHierarchy uniqueName="[Measures].[Sum of Total_Budget]" caption="Sum of Total_Budget" measure="1" displayFolder="" measureGroup="Campaign_Data" count="0" hidden="1">
      <extLst>
        <ext xmlns:x15="http://schemas.microsoft.com/office/spreadsheetml/2010/11/main" uri="{B97F6D7D-B522-45F9-BDA1-12C45D357490}">
          <x15:cacheHierarchy aggregatedColumn="4"/>
        </ext>
      </extLst>
    </cacheHierarchy>
  </cacheHierarchies>
  <kpis count="0"/>
  <dimensions count="3">
    <dimension name="Campaign_Data" uniqueName="[Campaign_Data]" caption="Campaign_Data"/>
    <dimension measure="1" name="Measures" uniqueName="[Measures]" caption="Measures"/>
    <dimension name="Post5" uniqueName="[Post5]" caption="Post5"/>
  </dimensions>
  <measureGroups count="2">
    <measureGroup name="Campaign_Data" caption="Campaign_Data"/>
    <measureGroup name="Post5" caption="Post5"/>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KUMAR" refreshedDate="46009.412139120373" createdVersion="5" refreshedVersion="8" minRefreshableVersion="3" recordCount="0" supportSubquery="1" supportAdvancedDrill="1" xr:uid="{9FF5B6B5-B86D-4C0F-90B1-1C4BC753B980}">
  <cacheSource type="external" connectionId="5"/>
  <cacheFields count="3">
    <cacheField name="[Campaign_Data].[Campaign_Name].[Campaign_Name]" caption="Campaign_Name" numFmtId="0" level="1">
      <sharedItems count="4">
        <s v="EndOfSeasonSale"/>
        <s v="FashionUpgrade"/>
        <s v="MyntraFestiveEdit"/>
        <s v="StyleRevolution"/>
      </sharedItems>
    </cacheField>
    <cacheField name="[Measures].[Sum of Engagement]" caption="Sum of Engagement" numFmtId="0" hierarchy="29" level="32767"/>
    <cacheField name="[Measures].[Sum of Total_Budget]" caption="Sum of Total_Budget" numFmtId="0" hierarchy="30" level="32767"/>
  </cacheFields>
  <cacheHierarchies count="31">
    <cacheHierarchy uniqueName="[Campaign_Data].[Campaign_Name]" caption="Campaign_Name" attribute="1" defaultMemberUniqueName="[Campaign_Data].[Campaign_Name].[All]" allUniqueName="[Campaign_Data].[Campaign_Name].[All]" dimensionUniqueName="[Campaign_Data]" displayFolder="" count="2" memberValueDatatype="130" unbalanced="0">
      <fieldsUsage count="2">
        <fieldUsage x="-1"/>
        <fieldUsage x="0"/>
      </fieldsUsage>
    </cacheHierarchy>
    <cacheHierarchy uniqueName="[Campaign_Data].[Start_Date]" caption="Start_Date" attribute="1" time="1" defaultMemberUniqueName="[Campaign_Data].[Start_Date].[All]" allUniqueName="[Campaign_Data].[Start_Date].[All]" dimensionUniqueName="[Campaign_Data]" displayFolder="" count="0" memberValueDatatype="7" unbalanced="0"/>
    <cacheHierarchy uniqueName="[Campaign_Data].[End_Date]" caption="End_Date" attribute="1" time="1" defaultMemberUniqueName="[Campaign_Data].[End_Date].[All]" allUniqueName="[Campaign_Data].[End_Date].[All]" dimensionUniqueName="[Campaign_Data]" displayFolder="" count="0" memberValueDatatype="7" unbalanced="0"/>
    <cacheHierarchy uniqueName="[Campaign_Data].[Objective]" caption="Objective" attribute="1" defaultMemberUniqueName="[Campaign_Data].[Objective].[All]" allUniqueName="[Campaign_Data].[Objective].[All]" dimensionUniqueName="[Campaign_Data]" displayFolder="" count="0" memberValueDatatype="130" unbalanced="0"/>
    <cacheHierarchy uniqueName="[Campaign_Data].[Total_Budget]" caption="Total_Budget" attribute="1" defaultMemberUniqueName="[Campaign_Data].[Total_Budget].[All]" allUniqueName="[Campaign_Data].[Total_Budget].[All]" dimensionUniqueName="[Campaign_Data]" displayFolder="" count="0" memberValueDatatype="20" unbalanced="0"/>
    <cacheHierarchy uniqueName="[Campaign_Data].[Target_Platforms]" caption="Target_Platforms" attribute="1" defaultMemberUniqueName="[Campaign_Data].[Target_Platforms].[All]" allUniqueName="[Campaign_Data].[Target_Platforms].[All]" dimensionUniqueName="[Campaign_Data]" displayFolder="" count="0" memberValueDatatype="130" unbalanced="0"/>
    <cacheHierarchy uniqueName="[Post5].[Post ID]" caption="Post ID" attribute="1" defaultMemberUniqueName="[Post5].[Post ID].[All]" allUniqueName="[Post5].[Post ID].[All]" dimensionUniqueName="[Post5]" displayFolder="" count="0" memberValueDatatype="130" unbalanced="0"/>
    <cacheHierarchy uniqueName="[Post5].[Platform]" caption="Platform" attribute="1" defaultMemberUniqueName="[Post5].[Platform].[All]" allUniqueName="[Post5].[Platform].[All]" dimensionUniqueName="[Post5]" displayFolder="" count="0" memberValueDatatype="130" unbalanced="0"/>
    <cacheHierarchy uniqueName="[Post5].[Date]" caption="Date" attribute="1" time="1" defaultMemberUniqueName="[Post5].[Date].[All]" allUniqueName="[Post5].[Date].[All]" dimensionUniqueName="[Post5]" displayFolder="" count="0" memberValueDatatype="7" unbalanced="0"/>
    <cacheHierarchy uniqueName="[Post5].[Content Type]" caption="Content Type" attribute="1" defaultMemberUniqueName="[Post5].[Content Type].[All]" allUniqueName="[Post5].[Content Type].[All]" dimensionUniqueName="[Post5]" displayFolder="" count="0" memberValueDatatype="130" unbalanced="0"/>
    <cacheHierarchy uniqueName="[Post5].[Post Text]" caption="Post Text" attribute="1" defaultMemberUniqueName="[Post5].[Post Text].[All]" allUniqueName="[Post5].[Post Text].[All]" dimensionUniqueName="[Post5]" displayFolder="" count="0" memberValueDatatype="130" unbalanced="0"/>
    <cacheHierarchy uniqueName="[Post5].[Likes]" caption="Likes" attribute="1" defaultMemberUniqueName="[Post5].[Likes].[All]" allUniqueName="[Post5].[Likes].[All]" dimensionUniqueName="[Post5]" displayFolder="" count="0" memberValueDatatype="20" unbalanced="0"/>
    <cacheHierarchy uniqueName="[Post5].[Shares]" caption="Shares" attribute="1" defaultMemberUniqueName="[Post5].[Shares].[All]" allUniqueName="[Post5].[Shares].[All]" dimensionUniqueName="[Post5]" displayFolder="" count="0" memberValueDatatype="20" unbalanced="0"/>
    <cacheHierarchy uniqueName="[Post5].[Comments]" caption="Comments" attribute="1" defaultMemberUniqueName="[Post5].[Comments].[All]" allUniqueName="[Post5].[Comments].[All]" dimensionUniqueName="[Post5]" displayFolder="" count="0" memberValueDatatype="20" unbalanced="0"/>
    <cacheHierarchy uniqueName="[Post5].[Impressions]" caption="Impressions" attribute="1" defaultMemberUniqueName="[Post5].[Impressions].[All]" allUniqueName="[Post5].[Impressions].[All]" dimensionUniqueName="[Post5]" displayFolder="" count="0" memberValueDatatype="20" unbalanced="0"/>
    <cacheHierarchy uniqueName="[Post5].[Reach]" caption="Reach" attribute="1" defaultMemberUniqueName="[Post5].[Reach].[All]" allUniqueName="[Post5].[Reach].[All]" dimensionUniqueName="[Post5]" displayFolder="" count="0" memberValueDatatype="20" unbalanced="0"/>
    <cacheHierarchy uniqueName="[Post5].[Clicks]" caption="Clicks" attribute="1" defaultMemberUniqueName="[Post5].[Clicks].[All]" allUniqueName="[Post5].[Clicks].[All]" dimensionUniqueName="[Post5]" displayFolder="" count="0" memberValueDatatype="20" unbalanced="0"/>
    <cacheHierarchy uniqueName="[Post5].[Hashtags Used]" caption="Hashtags Used" attribute="1" defaultMemberUniqueName="[Post5].[Hashtags Used].[All]" allUniqueName="[Post5].[Hashtags Used].[All]" dimensionUniqueName="[Post5]" displayFolder="" count="0" memberValueDatatype="130" unbalanced="0"/>
    <cacheHierarchy uniqueName="[Post5].[Campaign_Name]" caption="Campaign_Name" attribute="1" defaultMemberUniqueName="[Post5].[Campaign_Name].[All]" allUniqueName="[Post5].[Campaign_Name].[All]" dimensionUniqueName="[Post5]" displayFolder="" count="0" memberValueDatatype="130" unbalanced="0"/>
    <cacheHierarchy uniqueName="[Post5].[Engagement_Rate]" caption="Engagement_Rate" attribute="1" defaultMemberUniqueName="[Post5].[Engagement_Rate].[All]" allUniqueName="[Post5].[Engagement_Rate].[All]" dimensionUniqueName="[Post5]" displayFolder="" count="0" memberValueDatatype="5" unbalanced="0"/>
    <cacheHierarchy uniqueName="[Post5].[Start_date]" caption="Start_date" attribute="1" time="1" defaultMemberUniqueName="[Post5].[Start_date].[All]" allUniqueName="[Post5].[Start_date].[All]" dimensionUniqueName="[Post5]" displayFolder="" count="0" memberValueDatatype="7" unbalanced="0"/>
    <cacheHierarchy uniqueName="[Post5].[End_date]" caption="End_date" attribute="1" time="1" defaultMemberUniqueName="[Post5].[End_date].[All]" allUniqueName="[Post5].[End_date].[All]" dimensionUniqueName="[Post5]" displayFolder="" count="0" memberValueDatatype="7" unbalanced="0"/>
    <cacheHierarchy uniqueName="[Post5].[Campaign_Flag]" caption="Campaign_Flag" attribute="1" defaultMemberUniqueName="[Post5].[Campaign_Flag].[All]" allUniqueName="[Post5].[Campaign_Flag].[All]" dimensionUniqueName="[Post5]" displayFolder="" count="0" memberValueDatatype="130" unbalanced="0"/>
    <cacheHierarchy uniqueName="[Post5].[Engagement]" caption="Engagement" attribute="1" defaultMemberUniqueName="[Post5].[Engagement].[All]" allUniqueName="[Post5].[Engagement].[All]" dimensionUniqueName="[Post5]" displayFolder="" count="0" memberValueDatatype="20" unbalanced="0"/>
    <cacheHierarchy uniqueName="[Measures].[__XL_Count Campaign_Data]" caption="__XL_Count Campaign_Data" measure="1" displayFolder="" measureGroup="Campaign_Data" count="0" hidden="1"/>
    <cacheHierarchy uniqueName="[Measures].[__XL_Count Post5]" caption="__XL_Count Post5" measure="1" displayFolder="" measureGroup="Post5" count="0" hidden="1"/>
    <cacheHierarchy uniqueName="[Measures].[__No measures defined]" caption="__No measures defined" measure="1" displayFolder="" count="0" hidden="1"/>
    <cacheHierarchy uniqueName="[Measures].[Sum of Engagement_Rate]" caption="Sum of Engagement_Rate" measure="1" displayFolder="" measureGroup="Post5" count="0" hidden="1">
      <extLst>
        <ext xmlns:x15="http://schemas.microsoft.com/office/spreadsheetml/2010/11/main" uri="{B97F6D7D-B522-45F9-BDA1-12C45D357490}">
          <x15:cacheHierarchy aggregatedColumn="19"/>
        </ext>
      </extLst>
    </cacheHierarchy>
    <cacheHierarchy uniqueName="[Measures].[Average of Engagement_Rate]" caption="Average of Engagement_Rate" measure="1" displayFolder="" measureGroup="Post5" count="0" hidden="1">
      <extLst>
        <ext xmlns:x15="http://schemas.microsoft.com/office/spreadsheetml/2010/11/main" uri="{B97F6D7D-B522-45F9-BDA1-12C45D357490}">
          <x15:cacheHierarchy aggregatedColumn="19"/>
        </ext>
      </extLst>
    </cacheHierarchy>
    <cacheHierarchy uniqueName="[Measures].[Sum of Engagement]" caption="Sum of Engagement" measure="1" displayFolder="" measureGroup="Post5"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Total_Budget]" caption="Sum of Total_Budget" measure="1" displayFolder="" measureGroup="Campaign_Data"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3">
    <dimension name="Campaign_Data" uniqueName="[Campaign_Data]" caption="Campaign_Data"/>
    <dimension measure="1" name="Measures" uniqueName="[Measures]" caption="Measures"/>
    <dimension name="Post5" uniqueName="[Post5]" caption="Post5"/>
  </dimensions>
  <measureGroups count="2">
    <measureGroup name="Campaign_Data" caption="Campaign_Data"/>
    <measureGroup name="Post5" caption="Post5"/>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UMAR" refreshedDate="46009.494429398146" createdVersion="8" refreshedVersion="8" minRefreshableVersion="3" recordCount="200" xr:uid="{B4AC3C09-1072-4718-AD52-10BFCA6C1249}">
  <cacheSource type="worksheet">
    <worksheetSource ref="A1:H201" sheet="Engagment Summary"/>
  </cacheSource>
  <cacheFields count="8">
    <cacheField name="Week_Start_Date" numFmtId="14">
      <sharedItems containsSemiMixedTypes="0" containsNonDate="0" containsDate="1" containsString="0" minDate="2024-06-03T00:00:00" maxDate="2025-05-13T00:00:00"/>
    </cacheField>
    <cacheField name="Platform" numFmtId="0">
      <sharedItems count="4">
        <s v="Instagram"/>
        <s v="Facebook"/>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Campaign_name" numFmtId="0">
      <sharedItems count="5">
        <s v="No Campaign"/>
        <s v="EndofSeasonSale"/>
        <s v="FashionUpgrade"/>
        <s v="MyntraFestiveEdit"/>
        <s v="StyleRevolution"/>
      </sharedItems>
    </cacheField>
  </cacheFields>
  <extLst>
    <ext xmlns:x14="http://schemas.microsoft.com/office/spreadsheetml/2009/9/main" uri="{725AE2AE-9491-48be-B2B4-4EB974FC3084}">
      <x14:pivotCacheDefinition pivotCacheId="1371651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s v="Twitter"/>
    <d v="2024-12-23T00:00:00"/>
    <s v="Reel"/>
    <s v="Explore the latest reel on Myntra! Trendy styles await."/>
    <n v="1461"/>
    <n v="184"/>
    <n v="344"/>
    <n v="21915"/>
    <n v="21675"/>
    <n v="15"/>
    <s v="#MyntraSale"/>
    <x v="0"/>
  </r>
  <r>
    <s v="P002"/>
    <s v="Twitter"/>
    <d v="2025-04-03T00:00:00"/>
    <s v="Text"/>
    <s v="Explore the latest text on Myntra! Trendy styles await."/>
    <n v="4054"/>
    <n v="389"/>
    <n v="493"/>
    <n v="64864"/>
    <n v="64383"/>
    <n v="117"/>
    <s v="#MyntraFashion"/>
    <x v="1"/>
  </r>
  <r>
    <s v="P003"/>
    <s v="YouTube"/>
    <d v="2025-05-12T00:00:00"/>
    <s v="Reel"/>
    <s v="Explore the latest reel on Myntra! Trendy styles await."/>
    <n v="2795"/>
    <n v="105"/>
    <n v="49"/>
    <n v="53105"/>
    <n v="52307"/>
    <n v="204"/>
    <s v="#MyntraFashion"/>
    <x v="0"/>
  </r>
  <r>
    <s v="P004"/>
    <s v="Instagram"/>
    <d v="2024-08-12T00:00:00"/>
    <s v="Story"/>
    <s v="Explore the latest story on Myntra! Trendy styles await."/>
    <n v="2404"/>
    <n v="363"/>
    <n v="138"/>
    <n v="19232"/>
    <n v="18636"/>
    <n v="128"/>
    <s v="#MyntraSale"/>
    <x v="0"/>
  </r>
  <r>
    <s v="P005"/>
    <s v="YouTube"/>
    <d v="2024-06-26T00:00:00"/>
    <s v="Reel"/>
    <s v="Explore the latest reel on Myntra! Trendy styles await."/>
    <n v="3557"/>
    <n v="687"/>
    <n v="424"/>
    <n v="71140"/>
    <n v="70701"/>
    <n v="224"/>
    <s v="#StyleWithMyntra"/>
    <x v="2"/>
  </r>
  <r>
    <s v="P006"/>
    <s v="Facebook"/>
    <d v="2024-10-31T00:00:00"/>
    <s v="Carousel"/>
    <s v="Explore the latest carousel on Myntra! Trendy styles await."/>
    <n v="2945"/>
    <n v="930"/>
    <n v="355"/>
    <n v="23560"/>
    <n v="23275"/>
    <n v="256"/>
    <s v="#MyntraTrend"/>
    <x v="1"/>
  </r>
  <r>
    <s v="P007"/>
    <s v="Twitter"/>
    <d v="2024-06-24T00:00:00"/>
    <s v="Carousel"/>
    <s v="Explore the latest carousel on Myntra! Trendy styles await."/>
    <n v="3860"/>
    <n v="201"/>
    <n v="279"/>
    <n v="61760"/>
    <n v="61660"/>
    <n v="235"/>
    <s v="#MyntraTrend"/>
    <x v="2"/>
  </r>
  <r>
    <s v="P008"/>
    <s v="YouTube"/>
    <d v="2024-07-13T00:00:00"/>
    <s v="Image"/>
    <s v="Explore the latest image on Myntra! Trendy styles await."/>
    <n v="3929"/>
    <n v="262"/>
    <n v="278"/>
    <n v="43219"/>
    <n v="42841"/>
    <n v="39"/>
    <s v="#MyntraFashion"/>
    <x v="2"/>
  </r>
  <r>
    <s v="P009"/>
    <s v="Facebook"/>
    <d v="2024-08-30T00:00:00"/>
    <s v="Text"/>
    <s v="Explore the latest text on Myntra! Trendy styles await."/>
    <n v="3784"/>
    <n v="808"/>
    <n v="404"/>
    <n v="56760"/>
    <n v="56343"/>
    <n v="131"/>
    <s v="#MyntraFashion"/>
    <x v="2"/>
  </r>
  <r>
    <s v="P010"/>
    <s v="Facebook"/>
    <d v="2025-03-11T00:00:00"/>
    <s v="Image"/>
    <s v="Explore the latest image on Myntra! Trendy styles await."/>
    <n v="4241"/>
    <n v="902"/>
    <n v="47"/>
    <n v="72097"/>
    <n v="71598"/>
    <n v="167"/>
    <s v="#MyntraTrend"/>
    <x v="3"/>
  </r>
  <r>
    <s v="P011"/>
    <s v="Instagram"/>
    <d v="2025-02-02T00:00:00"/>
    <s v="Story"/>
    <s v="Explore the latest story on Myntra! Trendy styles await."/>
    <n v="1792"/>
    <n v="614"/>
    <n v="497"/>
    <n v="25088"/>
    <n v="24675"/>
    <n v="65"/>
    <s v="#StyleWithMyntra"/>
    <x v="0"/>
  </r>
  <r>
    <s v="P012"/>
    <s v="Facebook"/>
    <d v="2024-07-21T00:00:00"/>
    <s v="Reel"/>
    <s v="Explore the latest reel on Myntra! Trendy styles await."/>
    <n v="1946"/>
    <n v="686"/>
    <n v="377"/>
    <n v="23352"/>
    <n v="22982"/>
    <n v="213"/>
    <s v="#StyleWithMyntra"/>
    <x v="2"/>
  </r>
  <r>
    <s v="P013"/>
    <s v="YouTube"/>
    <d v="2024-11-18T00:00:00"/>
    <s v="Carousel"/>
    <s v="Explore the latest carousel on Myntra! Trendy styles await."/>
    <n v="1171"/>
    <n v="286"/>
    <n v="231"/>
    <n v="22249"/>
    <n v="21282"/>
    <n v="114"/>
    <s v="#MyntraFashion"/>
    <x v="3"/>
  </r>
  <r>
    <s v="P014"/>
    <s v="Facebook"/>
    <d v="2025-02-16T00:00:00"/>
    <s v="Story"/>
    <s v="Explore the latest story on Myntra! Trendy styles await."/>
    <n v="4242"/>
    <n v="555"/>
    <n v="131"/>
    <n v="33936"/>
    <n v="33802"/>
    <n v="265"/>
    <s v="#MyntraSale"/>
    <x v="2"/>
  </r>
  <r>
    <s v="P015"/>
    <s v="Facebook"/>
    <d v="2024-10-24T00:00:00"/>
    <s v="Video"/>
    <s v="Explore the latest video on Myntra! Trendy styles await."/>
    <n v="3888"/>
    <n v="604"/>
    <n v="128"/>
    <n v="77760"/>
    <n v="77167"/>
    <n v="20"/>
    <s v="#MyntraFashion"/>
    <x v="0"/>
  </r>
  <r>
    <s v="P016"/>
    <s v="Facebook"/>
    <d v="2024-08-26T00:00:00"/>
    <s v="Text"/>
    <s v="Explore the latest text on Myntra! Trendy styles await."/>
    <n v="3452"/>
    <n v="377"/>
    <n v="360"/>
    <n v="55232"/>
    <n v="55075"/>
    <n v="87"/>
    <s v="#MyntraSale"/>
    <x v="2"/>
  </r>
  <r>
    <s v="P017"/>
    <s v="Facebook"/>
    <d v="2025-05-05T00:00:00"/>
    <s v="Text"/>
    <s v="Explore the latest text on Myntra! Trendy styles await."/>
    <n v="4441"/>
    <n v="511"/>
    <n v="70"/>
    <n v="53292"/>
    <n v="53082"/>
    <n v="159"/>
    <s v="#FashionDeals"/>
    <x v="2"/>
  </r>
  <r>
    <s v="P018"/>
    <s v="Instagram"/>
    <d v="2024-08-19T00:00:00"/>
    <s v="Reel"/>
    <s v="Explore the latest reel on Myntra! Trendy styles await."/>
    <n v="3000"/>
    <n v="382"/>
    <n v="325"/>
    <n v="36000"/>
    <n v="35819"/>
    <n v="19"/>
    <s v="#StyleWithMyntra"/>
    <x v="1"/>
  </r>
  <r>
    <s v="P019"/>
    <s v="Instagram"/>
    <d v="2024-06-23T00:00:00"/>
    <s v="Video"/>
    <s v="Explore the latest video on Myntra! Trendy styles await."/>
    <n v="1071"/>
    <n v="519"/>
    <n v="22"/>
    <n v="16065"/>
    <n v="15865"/>
    <n v="103"/>
    <s v="#MyntraSale"/>
    <x v="2"/>
  </r>
  <r>
    <s v="P020"/>
    <s v="Instagram"/>
    <d v="2024-09-09T00:00:00"/>
    <s v="Carousel"/>
    <s v="Explore the latest carousel on Myntra! Trendy styles await."/>
    <n v="4054"/>
    <n v="488"/>
    <n v="373"/>
    <n v="77026"/>
    <n v="76881"/>
    <n v="25"/>
    <s v="#MyntraFashion"/>
    <x v="2"/>
  </r>
  <r>
    <s v="P021"/>
    <s v="Instagram"/>
    <d v="2025-01-04T00:00:00"/>
    <s v="Reel"/>
    <s v="Explore the latest reel on Myntra! Trendy styles await."/>
    <n v="4838"/>
    <n v="640"/>
    <n v="128"/>
    <n v="72570"/>
    <n v="72396"/>
    <n v="83"/>
    <s v="#StyleWithMyntra"/>
    <x v="2"/>
  </r>
  <r>
    <s v="P022"/>
    <s v="Facebook"/>
    <d v="2025-02-27T00:00:00"/>
    <s v="Text"/>
    <s v="Explore the latest text on Myntra! Trendy styles await."/>
    <n v="1570"/>
    <n v="187"/>
    <n v="260"/>
    <n v="25120"/>
    <n v="24613"/>
    <n v="133"/>
    <s v="#MyntraSale"/>
    <x v="3"/>
  </r>
  <r>
    <s v="P023"/>
    <s v="Facebook"/>
    <d v="2024-11-06T00:00:00"/>
    <s v="Video"/>
    <s v="Explore the latest video on Myntra! Trendy styles await."/>
    <n v="1606"/>
    <n v="547"/>
    <n v="316"/>
    <n v="32120"/>
    <n v="31736"/>
    <n v="225"/>
    <s v="#MyntraSale"/>
    <x v="2"/>
  </r>
  <r>
    <s v="P024"/>
    <s v="Facebook"/>
    <d v="2025-01-23T00:00:00"/>
    <s v="Video"/>
    <s v="Explore the latest video on Myntra! Trendy styles await."/>
    <n v="3961"/>
    <n v="761"/>
    <n v="131"/>
    <n v="67337"/>
    <n v="66615"/>
    <n v="161"/>
    <s v="#MyntraTrend"/>
    <x v="1"/>
  </r>
  <r>
    <s v="P025"/>
    <s v="Twitter"/>
    <d v="2025-04-10T00:00:00"/>
    <s v="Carousel"/>
    <s v="Explore the latest carousel on Myntra! Trendy styles await."/>
    <n v="3128"/>
    <n v="211"/>
    <n v="197"/>
    <n v="59432"/>
    <n v="59182"/>
    <n v="238"/>
    <s v="#StyleWithMyntra"/>
    <x v="0"/>
  </r>
  <r>
    <s v="P026"/>
    <s v="YouTube"/>
    <d v="2025-04-05T00:00:00"/>
    <s v="Reel"/>
    <s v="Explore the latest reel on Myntra! Trendy styles await."/>
    <n v="3009"/>
    <n v="413"/>
    <n v="358"/>
    <n v="42126"/>
    <n v="41309"/>
    <n v="211"/>
    <s v="#MyntraSale"/>
    <x v="1"/>
  </r>
  <r>
    <s v="P027"/>
    <s v="YouTube"/>
    <d v="2024-09-17T00:00:00"/>
    <s v="Text"/>
    <s v="Explore the latest text on Myntra! Trendy styles await."/>
    <n v="2076"/>
    <n v="195"/>
    <n v="104"/>
    <n v="33216"/>
    <n v="32244"/>
    <n v="51"/>
    <s v="#MyntraTrend"/>
    <x v="3"/>
  </r>
  <r>
    <s v="P028"/>
    <s v="Instagram"/>
    <d v="2025-03-04T00:00:00"/>
    <s v="Video"/>
    <s v="Explore the latest video on Myntra! Trendy styles await."/>
    <n v="432"/>
    <n v="624"/>
    <n v="123"/>
    <n v="6912"/>
    <n v="6259"/>
    <n v="79"/>
    <s v="#MyntraSale"/>
    <x v="1"/>
  </r>
  <r>
    <s v="P029"/>
    <s v="Instagram"/>
    <d v="2025-01-31T00:00:00"/>
    <s v="Carousel"/>
    <s v="Explore the latest carousel on Myntra! Trendy styles await."/>
    <n v="2566"/>
    <n v="118"/>
    <n v="37"/>
    <n v="12830"/>
    <n v="12264"/>
    <n v="221"/>
    <s v="#MyntraTrend"/>
    <x v="2"/>
  </r>
  <r>
    <s v="P030"/>
    <s v="Instagram"/>
    <d v="2025-02-25T00:00:00"/>
    <s v="Video"/>
    <s v="Explore the latest video on Myntra! Trendy styles await."/>
    <n v="3095"/>
    <n v="39"/>
    <n v="78"/>
    <n v="55710"/>
    <n v="54808"/>
    <n v="93"/>
    <s v="#MyntraSale"/>
    <x v="3"/>
  </r>
  <r>
    <s v="P031"/>
    <s v="Instagram"/>
    <d v="2024-12-16T00:00:00"/>
    <s v="Text"/>
    <s v="Explore the latest text on Myntra! Trendy styles await."/>
    <n v="438"/>
    <n v="153"/>
    <n v="275"/>
    <n v="3066"/>
    <n v="2701"/>
    <n v="282"/>
    <s v="#MyntraTrend"/>
    <x v="3"/>
  </r>
  <r>
    <s v="P032"/>
    <s v="Twitter"/>
    <d v="2024-07-31T00:00:00"/>
    <s v="Carousel"/>
    <s v="Explore the latest carousel on Myntra! Trendy styles await."/>
    <n v="2278"/>
    <n v="10"/>
    <n v="321"/>
    <n v="13668"/>
    <n v="12676"/>
    <n v="275"/>
    <s v="#MyntraTrend"/>
    <x v="3"/>
  </r>
  <r>
    <s v="P033"/>
    <s v="Facebook"/>
    <d v="2024-08-21T00:00:00"/>
    <s v="Image"/>
    <s v="Explore the latest image on Myntra! Trendy styles await."/>
    <n v="1407"/>
    <n v="400"/>
    <n v="351"/>
    <n v="16884"/>
    <n v="15954"/>
    <n v="113"/>
    <s v="#MyntraFashion"/>
    <x v="2"/>
  </r>
  <r>
    <s v="P034"/>
    <s v="Facebook"/>
    <d v="2025-03-26T00:00:00"/>
    <s v="Text"/>
    <s v="Explore the latest text on Myntra! Trendy styles await."/>
    <n v="1652"/>
    <n v="89"/>
    <n v="357"/>
    <n v="29736"/>
    <n v="28771"/>
    <n v="215"/>
    <s v="#MyntraTrend"/>
    <x v="1"/>
  </r>
  <r>
    <s v="P035"/>
    <s v="Instagram"/>
    <d v="2024-11-30T00:00:00"/>
    <s v="Video"/>
    <s v="Explore the latest video on Myntra! Trendy styles await."/>
    <n v="3775"/>
    <n v="16"/>
    <n v="239"/>
    <n v="33975"/>
    <n v="33310"/>
    <n v="271"/>
    <s v="#StyleWithMyntra"/>
    <x v="2"/>
  </r>
  <r>
    <s v="P036"/>
    <s v="Instagram"/>
    <d v="2025-04-19T00:00:00"/>
    <s v="Story"/>
    <s v="Explore the latest story on Myntra! Trendy styles await."/>
    <n v="4518"/>
    <n v="285"/>
    <n v="383"/>
    <n v="67770"/>
    <n v="67621"/>
    <n v="31"/>
    <s v="#FashionDeals"/>
    <x v="1"/>
  </r>
  <r>
    <s v="P037"/>
    <s v="Facebook"/>
    <d v="2025-01-06T00:00:00"/>
    <s v="Carousel"/>
    <s v="Explore the latest carousel on Myntra! Trendy styles await."/>
    <n v="3024"/>
    <n v="925"/>
    <n v="350"/>
    <n v="24192"/>
    <n v="23518"/>
    <n v="36"/>
    <s v="#MyntraSale"/>
    <x v="2"/>
  </r>
  <r>
    <s v="P038"/>
    <s v="YouTube"/>
    <d v="2025-02-17T00:00:00"/>
    <s v="Reel"/>
    <s v="Explore the latest reel on Myntra! Trendy styles await."/>
    <n v="3138"/>
    <n v="123"/>
    <n v="291"/>
    <n v="28242"/>
    <n v="27550"/>
    <n v="87"/>
    <s v="#FashionDeals"/>
    <x v="3"/>
  </r>
  <r>
    <s v="P039"/>
    <s v="Facebook"/>
    <d v="2024-11-25T00:00:00"/>
    <s v="Image"/>
    <s v="Explore the latest image on Myntra! Trendy styles await."/>
    <n v="3564"/>
    <n v="629"/>
    <n v="177"/>
    <n v="60588"/>
    <n v="59627"/>
    <n v="92"/>
    <s v="#FashionDeals"/>
    <x v="2"/>
  </r>
  <r>
    <s v="P040"/>
    <s v="Twitter"/>
    <d v="2025-03-07T00:00:00"/>
    <s v="Image"/>
    <s v="Explore the latest image on Myntra! Trendy styles await."/>
    <n v="4750"/>
    <n v="151"/>
    <n v="415"/>
    <n v="38000"/>
    <n v="37792"/>
    <n v="299"/>
    <s v="#StyleWithMyntra"/>
    <x v="1"/>
  </r>
  <r>
    <s v="P041"/>
    <s v="Instagram"/>
    <d v="2025-03-08T00:00:00"/>
    <s v="Reel"/>
    <s v="Explore the latest reel on Myntra! Trendy styles await."/>
    <n v="456"/>
    <n v="629"/>
    <n v="428"/>
    <n v="8208"/>
    <n v="7377"/>
    <n v="205"/>
    <s v="#MyntraSale"/>
    <x v="2"/>
  </r>
  <r>
    <s v="P042"/>
    <s v="YouTube"/>
    <d v="2025-03-05T00:00:00"/>
    <s v="Reel"/>
    <s v="Explore the latest reel on Myntra! Trendy styles await."/>
    <n v="1543"/>
    <n v="820"/>
    <n v="333"/>
    <n v="12344"/>
    <n v="11496"/>
    <n v="241"/>
    <s v="#StyleWithMyntra"/>
    <x v="2"/>
  </r>
  <r>
    <s v="P043"/>
    <s v="Instagram"/>
    <d v="2024-12-14T00:00:00"/>
    <s v="Carousel"/>
    <s v="Explore the latest carousel on Myntra! Trendy styles await."/>
    <n v="2174"/>
    <n v="658"/>
    <n v="15"/>
    <n v="13044"/>
    <n v="12206"/>
    <n v="137"/>
    <s v="#MyntraSale"/>
    <x v="3"/>
  </r>
  <r>
    <s v="P044"/>
    <s v="Twitter"/>
    <d v="2025-03-02T00:00:00"/>
    <s v="Image"/>
    <s v="Explore the latest image on Myntra! Trendy styles await."/>
    <n v="2358"/>
    <n v="784"/>
    <n v="344"/>
    <n v="35370"/>
    <n v="34475"/>
    <n v="216"/>
    <s v="#MyntraSale"/>
    <x v="0"/>
  </r>
  <r>
    <s v="P045"/>
    <s v="Facebook"/>
    <d v="2024-11-01T00:00:00"/>
    <s v="Video"/>
    <s v="Explore the latest video on Myntra! Trendy styles await."/>
    <n v="3371"/>
    <n v="106"/>
    <n v="327"/>
    <n v="50565"/>
    <n v="49816"/>
    <n v="176"/>
    <s v="#FashionDeals"/>
    <x v="3"/>
  </r>
  <r>
    <s v="P046"/>
    <s v="Twitter"/>
    <d v="2025-05-02T00:00:00"/>
    <s v="Video"/>
    <s v="Explore the latest video on Myntra! Trendy styles await."/>
    <n v="1108"/>
    <n v="177"/>
    <n v="212"/>
    <n v="8864"/>
    <n v="8710"/>
    <n v="97"/>
    <s v="#MyntraFashion"/>
    <x v="3"/>
  </r>
  <r>
    <s v="P047"/>
    <s v="Twitter"/>
    <d v="2025-02-24T00:00:00"/>
    <s v="Carousel"/>
    <s v="Explore the latest carousel on Myntra! Trendy styles await."/>
    <n v="2704"/>
    <n v="752"/>
    <n v="153"/>
    <n v="21632"/>
    <n v="20792"/>
    <n v="127"/>
    <s v="#FashionDeals"/>
    <x v="0"/>
  </r>
  <r>
    <s v="P048"/>
    <s v="Twitter"/>
    <d v="2025-03-11T00:00:00"/>
    <s v="Story"/>
    <s v="Explore the latest story on Myntra! Trendy styles await."/>
    <n v="1950"/>
    <n v="295"/>
    <n v="478"/>
    <n v="37050"/>
    <n v="36272"/>
    <n v="119"/>
    <s v="#MyntraFashion"/>
    <x v="3"/>
  </r>
  <r>
    <s v="P049"/>
    <s v="Twitter"/>
    <d v="2024-06-10T00:00:00"/>
    <s v="Story"/>
    <s v="Explore the latest story on Myntra! Trendy styles await."/>
    <n v="2164"/>
    <n v="549"/>
    <n v="274"/>
    <n v="28132"/>
    <n v="27361"/>
    <n v="177"/>
    <s v="#StyleWithMyntra"/>
    <x v="0"/>
  </r>
  <r>
    <s v="P050"/>
    <s v="YouTube"/>
    <d v="2024-07-03T00:00:00"/>
    <s v="Story"/>
    <s v="Explore the latest story on Myntra! Trendy styles await."/>
    <n v="2754"/>
    <n v="130"/>
    <n v="90"/>
    <n v="22032"/>
    <n v="21288"/>
    <n v="112"/>
    <s v="#MyntraFashion"/>
    <x v="0"/>
  </r>
  <r>
    <s v="P051"/>
    <s v="Facebook"/>
    <d v="2024-06-13T00:00:00"/>
    <s v="Carousel"/>
    <s v="Explore the latest carousel on Myntra! Trendy styles await."/>
    <n v="2200"/>
    <n v="504"/>
    <n v="239"/>
    <n v="37400"/>
    <n v="36938"/>
    <n v="225"/>
    <s v="#MyntraSale"/>
    <x v="2"/>
  </r>
  <r>
    <s v="P052"/>
    <s v="Facebook"/>
    <d v="2025-01-03T00:00:00"/>
    <s v="Image"/>
    <s v="Explore the latest image on Myntra! Trendy styles await."/>
    <n v="947"/>
    <n v="338"/>
    <n v="350"/>
    <n v="10417"/>
    <n v="9730"/>
    <n v="34"/>
    <s v="#MyntraFashion"/>
    <x v="2"/>
  </r>
  <r>
    <s v="P053"/>
    <s v="YouTube"/>
    <d v="2025-02-24T00:00:00"/>
    <s v="Carousel"/>
    <s v="Explore the latest carousel on Myntra! Trendy styles await."/>
    <n v="804"/>
    <n v="639"/>
    <n v="43"/>
    <n v="4020"/>
    <n v="3144"/>
    <n v="11"/>
    <s v="#StyleWithMyntra"/>
    <x v="3"/>
  </r>
  <r>
    <s v="P054"/>
    <s v="YouTube"/>
    <d v="2025-03-13T00:00:00"/>
    <s v="Carousel"/>
    <s v="Explore the latest carousel on Myntra! Trendy styles await."/>
    <n v="1686"/>
    <n v="904"/>
    <n v="472"/>
    <n v="18546"/>
    <n v="18171"/>
    <n v="52"/>
    <s v="#MyntraFashion"/>
    <x v="1"/>
  </r>
  <r>
    <s v="P055"/>
    <s v="Facebook"/>
    <d v="2024-06-17T00:00:00"/>
    <s v="Image"/>
    <s v="Explore the latest image on Myntra! Trendy styles await."/>
    <n v="1226"/>
    <n v="119"/>
    <n v="7"/>
    <n v="14712"/>
    <n v="14049"/>
    <n v="123"/>
    <s v="#MyntraSale"/>
    <x v="3"/>
  </r>
  <r>
    <s v="P056"/>
    <s v="Facebook"/>
    <d v="2024-12-18T00:00:00"/>
    <s v="Carousel"/>
    <s v="Explore the latest carousel on Myntra! Trendy styles await."/>
    <n v="2946"/>
    <n v="498"/>
    <n v="367"/>
    <n v="29460"/>
    <n v="28527"/>
    <n v="60"/>
    <s v="#StyleWithMyntra"/>
    <x v="1"/>
  </r>
  <r>
    <s v="P057"/>
    <s v="Twitter"/>
    <d v="2024-10-21T00:00:00"/>
    <s v="Video"/>
    <s v="Explore the latest video on Myntra! Trendy styles await."/>
    <n v="2825"/>
    <n v="535"/>
    <n v="295"/>
    <n v="45200"/>
    <n v="44739"/>
    <n v="169"/>
    <s v="#StyleWithMyntra"/>
    <x v="1"/>
  </r>
  <r>
    <s v="P058"/>
    <s v="Instagram"/>
    <d v="2025-04-15T00:00:00"/>
    <s v="Reel"/>
    <s v="Explore the latest reel on Myntra! Trendy styles await."/>
    <n v="103"/>
    <n v="770"/>
    <n v="19"/>
    <n v="1030"/>
    <n v="410"/>
    <n v="262"/>
    <s v="#MyntraSale"/>
    <x v="2"/>
  </r>
  <r>
    <s v="P059"/>
    <s v="Instagram"/>
    <d v="2024-06-22T00:00:00"/>
    <s v="Text"/>
    <s v="Explore the latest text on Myntra! Trendy styles await."/>
    <n v="2180"/>
    <n v="263"/>
    <n v="387"/>
    <n v="30520"/>
    <n v="30059"/>
    <n v="174"/>
    <s v="#FashionDeals"/>
    <x v="0"/>
  </r>
  <r>
    <s v="P060"/>
    <s v="Instagram"/>
    <d v="2025-01-28T00:00:00"/>
    <s v="Video"/>
    <s v="Explore the latest video on Myntra! Trendy styles await."/>
    <n v="904"/>
    <n v="973"/>
    <n v="63"/>
    <n v="11752"/>
    <n v="11580"/>
    <n v="84"/>
    <s v="#StyleWithMyntra"/>
    <x v="0"/>
  </r>
  <r>
    <s v="P061"/>
    <s v="Twitter"/>
    <d v="2024-09-05T00:00:00"/>
    <s v="Video"/>
    <s v="Explore the latest video on Myntra! Trendy styles await."/>
    <n v="4886"/>
    <n v="983"/>
    <n v="409"/>
    <n v="43974"/>
    <n v="43239"/>
    <n v="65"/>
    <s v="#MyntraFashion"/>
    <x v="0"/>
  </r>
  <r>
    <s v="P062"/>
    <s v="Twitter"/>
    <d v="2024-11-22T00:00:00"/>
    <s v="Carousel"/>
    <s v="Explore the latest carousel on Myntra! Trendy styles await."/>
    <n v="53"/>
    <n v="81"/>
    <n v="379"/>
    <n v="954"/>
    <n v="7"/>
    <n v="148"/>
    <s v="#FashionDeals"/>
    <x v="2"/>
  </r>
  <r>
    <s v="P063"/>
    <s v="Twitter"/>
    <d v="2024-07-31T00:00:00"/>
    <s v="Carousel"/>
    <s v="Explore the latest carousel on Myntra! Trendy styles await."/>
    <n v="4507"/>
    <n v="217"/>
    <n v="13"/>
    <n v="90140"/>
    <n v="89591"/>
    <n v="125"/>
    <s v="#MyntraSale"/>
    <x v="0"/>
  </r>
  <r>
    <s v="P064"/>
    <s v="Facebook"/>
    <d v="2024-08-17T00:00:00"/>
    <s v="Image"/>
    <s v="Explore the latest image on Myntra! Trendy styles await."/>
    <n v="2878"/>
    <n v="248"/>
    <n v="416"/>
    <n v="43170"/>
    <n v="42667"/>
    <n v="75"/>
    <s v="#FashionDeals"/>
    <x v="1"/>
  </r>
  <r>
    <s v="P065"/>
    <s v="Instagram"/>
    <d v="2025-03-28T00:00:00"/>
    <s v="Story"/>
    <s v="Explore the latest story on Myntra! Trendy styles await."/>
    <n v="1881"/>
    <n v="501"/>
    <n v="99"/>
    <n v="20691"/>
    <n v="19987"/>
    <n v="289"/>
    <s v="#FashionDeals"/>
    <x v="1"/>
  </r>
  <r>
    <s v="P066"/>
    <s v="Twitter"/>
    <d v="2024-07-26T00:00:00"/>
    <s v="Carousel"/>
    <s v="Explore the latest carousel on Myntra! Trendy styles await."/>
    <n v="432"/>
    <n v="171"/>
    <n v="280"/>
    <n v="3024"/>
    <n v="2285"/>
    <n v="184"/>
    <s v="#MyntraFashion"/>
    <x v="2"/>
  </r>
  <r>
    <s v="P067"/>
    <s v="Facebook"/>
    <d v="2025-03-29T00:00:00"/>
    <s v="Carousel"/>
    <s v="Explore the latest carousel on Myntra! Trendy styles await."/>
    <n v="4712"/>
    <n v="568"/>
    <n v="127"/>
    <n v="84816"/>
    <n v="84691"/>
    <n v="100"/>
    <s v="#FashionDeals"/>
    <x v="0"/>
  </r>
  <r>
    <s v="P068"/>
    <s v="Instagram"/>
    <d v="2024-12-08T00:00:00"/>
    <s v="Story"/>
    <s v="Explore the latest story on Myntra! Trendy styles await."/>
    <n v="2610"/>
    <n v="126"/>
    <n v="288"/>
    <n v="15660"/>
    <n v="15145"/>
    <n v="73"/>
    <s v="#MyntraFashion"/>
    <x v="0"/>
  </r>
  <r>
    <s v="P069"/>
    <s v="Twitter"/>
    <d v="2025-03-08T00:00:00"/>
    <s v="Text"/>
    <s v="Explore the latest text on Myntra! Trendy styles await."/>
    <n v="1292"/>
    <n v="626"/>
    <n v="496"/>
    <n v="25840"/>
    <n v="24916"/>
    <n v="149"/>
    <s v="#StyleWithMyntra"/>
    <x v="3"/>
  </r>
  <r>
    <s v="P070"/>
    <s v="Facebook"/>
    <d v="2025-04-02T00:00:00"/>
    <s v="Video"/>
    <s v="Explore the latest video on Myntra! Trendy styles await."/>
    <n v="199"/>
    <n v="772"/>
    <n v="400"/>
    <n v="3582"/>
    <n v="2988"/>
    <n v="43"/>
    <s v="#MyntraTrend"/>
    <x v="0"/>
  </r>
  <r>
    <s v="P071"/>
    <s v="YouTube"/>
    <d v="2024-09-02T00:00:00"/>
    <s v="Carousel"/>
    <s v="Explore the latest carousel on Myntra! Trendy styles await."/>
    <n v="2551"/>
    <n v="915"/>
    <n v="205"/>
    <n v="30612"/>
    <n v="30360"/>
    <n v="227"/>
    <s v="#MyntraSale"/>
    <x v="1"/>
  </r>
  <r>
    <s v="P072"/>
    <s v="YouTube"/>
    <d v="2025-03-03T00:00:00"/>
    <s v="Reel"/>
    <s v="Explore the latest reel on Myntra! Trendy styles await."/>
    <n v="296"/>
    <n v="60"/>
    <n v="141"/>
    <n v="5624"/>
    <n v="5239"/>
    <n v="88"/>
    <s v="#MyntraTrend"/>
    <x v="3"/>
  </r>
  <r>
    <s v="P073"/>
    <s v="Facebook"/>
    <d v="2024-10-18T00:00:00"/>
    <s v="Story"/>
    <s v="Explore the latest story on Myntra! Trendy styles await."/>
    <n v="4126"/>
    <n v="426"/>
    <n v="486"/>
    <n v="78394"/>
    <n v="77798"/>
    <n v="88"/>
    <s v="#MyntraFashion"/>
    <x v="0"/>
  </r>
  <r>
    <s v="P074"/>
    <s v="YouTube"/>
    <d v="2024-10-28T00:00:00"/>
    <s v="Reel"/>
    <s v="Explore the latest reel on Myntra! Trendy styles await."/>
    <n v="1855"/>
    <n v="200"/>
    <n v="174"/>
    <n v="16695"/>
    <n v="16330"/>
    <n v="123"/>
    <s v="#MyntraFashion"/>
    <x v="2"/>
  </r>
  <r>
    <s v="P075"/>
    <s v="Instagram"/>
    <d v="2024-08-01T00:00:00"/>
    <s v="Reel"/>
    <s v="Explore the latest reel on Myntra! Trendy styles await."/>
    <n v="1674"/>
    <n v="929"/>
    <n v="37"/>
    <n v="21762"/>
    <n v="20998"/>
    <n v="255"/>
    <s v="#StyleWithMyntra"/>
    <x v="2"/>
  </r>
  <r>
    <s v="P076"/>
    <s v="Twitter"/>
    <d v="2024-11-07T00:00:00"/>
    <s v="Story"/>
    <s v="Explore the latest story on Myntra! Trendy styles await."/>
    <n v="1121"/>
    <n v="135"/>
    <n v="18"/>
    <n v="15694"/>
    <n v="14957"/>
    <n v="99"/>
    <s v="#MyntraSale"/>
    <x v="3"/>
  </r>
  <r>
    <s v="P077"/>
    <s v="Facebook"/>
    <d v="2025-03-04T00:00:00"/>
    <s v="Story"/>
    <s v="Explore the latest story on Myntra! Trendy styles await."/>
    <n v="1249"/>
    <n v="116"/>
    <n v="420"/>
    <n v="8743"/>
    <n v="8538"/>
    <n v="63"/>
    <s v="#MyntraFashion"/>
    <x v="2"/>
  </r>
  <r>
    <s v="P078"/>
    <s v="Twitter"/>
    <d v="2024-06-17T00:00:00"/>
    <s v="Image"/>
    <s v="Explore the latest image on Myntra! Trendy styles await."/>
    <n v="954"/>
    <n v="324"/>
    <n v="288"/>
    <n v="19080"/>
    <n v="18859"/>
    <n v="21"/>
    <s v="#MyntraTrend"/>
    <x v="2"/>
  </r>
  <r>
    <s v="P079"/>
    <s v="Instagram"/>
    <d v="2024-10-09T00:00:00"/>
    <s v="Carousel"/>
    <s v="Explore the latest carousel on Myntra! Trendy styles await."/>
    <n v="3068"/>
    <n v="137"/>
    <n v="329"/>
    <n v="39884"/>
    <n v="39404"/>
    <n v="266"/>
    <s v="#MyntraSale"/>
    <x v="2"/>
  </r>
  <r>
    <s v="P080"/>
    <s v="Instagram"/>
    <d v="2024-06-13T00:00:00"/>
    <s v="Story"/>
    <s v="Explore the latest story on Myntra! Trendy styles await."/>
    <n v="2103"/>
    <n v="892"/>
    <n v="103"/>
    <n v="39957"/>
    <n v="39466"/>
    <n v="28"/>
    <s v="#FashionDeals"/>
    <x v="1"/>
  </r>
  <r>
    <s v="P081"/>
    <s v="Instagram"/>
    <d v="2024-10-19T00:00:00"/>
    <s v="Story"/>
    <s v="Explore the latest story on Myntra! Trendy styles await."/>
    <n v="1816"/>
    <n v="29"/>
    <n v="41"/>
    <n v="19976"/>
    <n v="19262"/>
    <n v="283"/>
    <s v="#MyntraTrend"/>
    <x v="2"/>
  </r>
  <r>
    <s v="P082"/>
    <s v="Instagram"/>
    <d v="2024-07-24T00:00:00"/>
    <s v="Image"/>
    <s v="Explore the latest image on Myntra! Trendy styles await."/>
    <n v="725"/>
    <n v="88"/>
    <n v="428"/>
    <n v="14500"/>
    <n v="13637"/>
    <n v="200"/>
    <s v="#MyntraTrend"/>
    <x v="2"/>
  </r>
  <r>
    <s v="P083"/>
    <s v="YouTube"/>
    <d v="2024-10-15T00:00:00"/>
    <s v="Video"/>
    <s v="Explore the latest video on Myntra! Trendy styles await."/>
    <n v="1094"/>
    <n v="472"/>
    <n v="21"/>
    <n v="9846"/>
    <n v="9609"/>
    <n v="112"/>
    <s v="#MyntraTrend"/>
    <x v="2"/>
  </r>
  <r>
    <s v="P084"/>
    <s v="Facebook"/>
    <d v="2024-12-09T00:00:00"/>
    <s v="Image"/>
    <s v="Explore the latest image on Myntra! Trendy styles await."/>
    <n v="1841"/>
    <n v="851"/>
    <n v="342"/>
    <n v="34979"/>
    <n v="34154"/>
    <n v="255"/>
    <s v="#MyntraFashion"/>
    <x v="0"/>
  </r>
  <r>
    <s v="P085"/>
    <s v="Instagram"/>
    <d v="2025-04-19T00:00:00"/>
    <s v="Image"/>
    <s v="Explore the latest image on Myntra! Trendy styles await."/>
    <n v="4177"/>
    <n v="569"/>
    <n v="55"/>
    <n v="25062"/>
    <n v="24847"/>
    <n v="230"/>
    <s v="#MyntraFashion"/>
    <x v="0"/>
  </r>
  <r>
    <s v="P086"/>
    <s v="YouTube"/>
    <d v="2025-01-27T00:00:00"/>
    <s v="Text"/>
    <s v="Explore the latest text on Myntra! Trendy styles await."/>
    <n v="3428"/>
    <n v="305"/>
    <n v="85"/>
    <n v="58276"/>
    <n v="58052"/>
    <n v="242"/>
    <s v="#MyntraTrend"/>
    <x v="2"/>
  </r>
  <r>
    <s v="P087"/>
    <s v="Twitter"/>
    <d v="2024-06-06T00:00:00"/>
    <s v="Video"/>
    <s v="Explore the latest video on Myntra! Trendy styles await."/>
    <n v="1436"/>
    <n v="765"/>
    <n v="496"/>
    <n v="12924"/>
    <n v="12701"/>
    <n v="197"/>
    <s v="#MyntraTrend"/>
    <x v="1"/>
  </r>
  <r>
    <s v="P088"/>
    <s v="Facebook"/>
    <d v="2024-07-07T00:00:00"/>
    <s v="Story"/>
    <s v="Explore the latest story on Myntra! Trendy styles await."/>
    <n v="302"/>
    <n v="47"/>
    <n v="430"/>
    <n v="5738"/>
    <n v="4890"/>
    <n v="25"/>
    <s v="#MyntraFashion"/>
    <x v="1"/>
  </r>
  <r>
    <s v="P089"/>
    <s v="Twitter"/>
    <d v="2025-01-10T00:00:00"/>
    <s v="Image"/>
    <s v="Explore the latest image on Myntra! Trendy styles await."/>
    <n v="2214"/>
    <n v="249"/>
    <n v="152"/>
    <n v="15498"/>
    <n v="14800"/>
    <n v="180"/>
    <s v="#MyntraSale"/>
    <x v="1"/>
  </r>
  <r>
    <s v="P090"/>
    <s v="Instagram"/>
    <d v="2024-06-03T00:00:00"/>
    <s v="Image"/>
    <s v="Explore the latest image on Myntra! Trendy styles await."/>
    <n v="3861"/>
    <n v="960"/>
    <n v="101"/>
    <n v="69498"/>
    <n v="68817"/>
    <n v="297"/>
    <s v="#MyntraFashion"/>
    <x v="1"/>
  </r>
  <r>
    <s v="P091"/>
    <s v="Facebook"/>
    <d v="2025-03-24T00:00:00"/>
    <s v="Image"/>
    <s v="Explore the latest image on Myntra! Trendy styles await."/>
    <n v="1263"/>
    <n v="397"/>
    <n v="357"/>
    <n v="25260"/>
    <n v="24615"/>
    <n v="137"/>
    <s v="#MyntraSale"/>
    <x v="1"/>
  </r>
  <r>
    <s v="P092"/>
    <s v="Twitter"/>
    <d v="2024-10-21T00:00:00"/>
    <s v="Story"/>
    <s v="Explore the latest story on Myntra! Trendy styles await."/>
    <n v="3801"/>
    <n v="967"/>
    <n v="401"/>
    <n v="38010"/>
    <n v="37625"/>
    <n v="236"/>
    <s v="#StyleWithMyntra"/>
    <x v="3"/>
  </r>
  <r>
    <s v="P093"/>
    <s v="Instagram"/>
    <d v="2024-12-11T00:00:00"/>
    <s v="Video"/>
    <s v="Explore the latest video on Myntra! Trendy styles await."/>
    <n v="1431"/>
    <n v="951"/>
    <n v="26"/>
    <n v="8586"/>
    <n v="8396"/>
    <n v="150"/>
    <s v="#MyntraTrend"/>
    <x v="0"/>
  </r>
  <r>
    <s v="P094"/>
    <s v="Instagram"/>
    <d v="2024-11-07T00:00:00"/>
    <s v="Image"/>
    <s v="Explore the latest image on Myntra! Trendy styles await."/>
    <n v="2647"/>
    <n v="304"/>
    <n v="170"/>
    <n v="18529"/>
    <n v="17841"/>
    <n v="46"/>
    <s v="#StyleWithMyntra"/>
    <x v="1"/>
  </r>
  <r>
    <s v="P095"/>
    <s v="Instagram"/>
    <d v="2024-11-08T00:00:00"/>
    <s v="Text"/>
    <s v="Explore the latest text on Myntra! Trendy styles await."/>
    <n v="3182"/>
    <n v="559"/>
    <n v="160"/>
    <n v="57276"/>
    <n v="56890"/>
    <n v="163"/>
    <s v="#StyleWithMyntra"/>
    <x v="1"/>
  </r>
  <r>
    <s v="P096"/>
    <s v="Twitter"/>
    <d v="2024-09-10T00:00:00"/>
    <s v="Image"/>
    <s v="Explore the latest image on Myntra! Trendy styles await."/>
    <n v="1238"/>
    <n v="366"/>
    <n v="444"/>
    <n v="19808"/>
    <n v="19334"/>
    <n v="123"/>
    <s v="#FashionDeals"/>
    <x v="2"/>
  </r>
  <r>
    <s v="P097"/>
    <s v="Instagram"/>
    <d v="2024-08-13T00:00:00"/>
    <s v="Image"/>
    <s v="Explore the latest image on Myntra! Trendy styles await."/>
    <n v="4739"/>
    <n v="527"/>
    <n v="135"/>
    <n v="61607"/>
    <n v="61333"/>
    <n v="36"/>
    <s v="#StyleWithMyntra"/>
    <x v="1"/>
  </r>
  <r>
    <s v="P098"/>
    <s v="Twitter"/>
    <d v="2024-06-10T00:00:00"/>
    <s v="Story"/>
    <s v="Explore the latest story on Myntra! Trendy styles await."/>
    <n v="1575"/>
    <n v="771"/>
    <n v="486"/>
    <n v="25200"/>
    <n v="24826"/>
    <n v="17"/>
    <s v="#StyleWithMyntra"/>
    <x v="2"/>
  </r>
  <r>
    <s v="P099"/>
    <s v="YouTube"/>
    <d v="2024-07-02T00:00:00"/>
    <s v="Carousel"/>
    <s v="Explore the latest carousel on Myntra! Trendy styles await."/>
    <n v="4171"/>
    <n v="548"/>
    <n v="86"/>
    <n v="66736"/>
    <n v="66634"/>
    <n v="173"/>
    <s v="#StyleWithMyntra"/>
    <x v="2"/>
  </r>
  <r>
    <s v="P100"/>
    <s v="YouTube"/>
    <d v="2025-02-10T00:00:00"/>
    <s v="Video"/>
    <s v="Explore the latest video on Myntra! Trendy styles await."/>
    <n v="1766"/>
    <n v="92"/>
    <n v="424"/>
    <n v="24724"/>
    <n v="24333"/>
    <n v="52"/>
    <s v="#StyleWithMyntra"/>
    <x v="0"/>
  </r>
  <r>
    <s v="P101"/>
    <s v="YouTube"/>
    <d v="2024-10-18T00:00:00"/>
    <s v="Video"/>
    <s v="Explore the latest video on Myntra! Trendy styles await."/>
    <n v="4450"/>
    <n v="983"/>
    <n v="143"/>
    <n v="75650"/>
    <n v="75008"/>
    <n v="12"/>
    <s v="#MyntraSale"/>
    <x v="1"/>
  </r>
  <r>
    <s v="P102"/>
    <s v="Twitter"/>
    <d v="2024-09-18T00:00:00"/>
    <s v="Reel"/>
    <s v="Explore the latest reel on Myntra! Trendy styles await."/>
    <n v="1000"/>
    <n v="978"/>
    <n v="162"/>
    <n v="6000"/>
    <n v="5221"/>
    <n v="223"/>
    <s v="#MyntraTrend"/>
    <x v="2"/>
  </r>
  <r>
    <s v="P103"/>
    <s v="Facebook"/>
    <d v="2024-06-11T00:00:00"/>
    <s v="Image"/>
    <s v="Explore the latest image on Myntra! Trendy styles await."/>
    <n v="3689"/>
    <n v="48"/>
    <n v="306"/>
    <n v="40579"/>
    <n v="39588"/>
    <n v="212"/>
    <s v="#MyntraTrend"/>
    <x v="0"/>
  </r>
  <r>
    <s v="P104"/>
    <s v="YouTube"/>
    <d v="2025-03-23T00:00:00"/>
    <s v="Story"/>
    <s v="Explore the latest story on Myntra! Trendy styles await."/>
    <n v="3655"/>
    <n v="568"/>
    <n v="286"/>
    <n v="32895"/>
    <n v="32015"/>
    <n v="199"/>
    <s v="#MyntraTrend"/>
    <x v="3"/>
  </r>
  <r>
    <s v="P105"/>
    <s v="Instagram"/>
    <d v="2024-06-14T00:00:00"/>
    <s v="Carousel"/>
    <s v="Explore the latest carousel on Myntra! Trendy styles await."/>
    <n v="498"/>
    <n v="38"/>
    <n v="42"/>
    <n v="4482"/>
    <n v="3647"/>
    <n v="32"/>
    <s v="#StyleWithMyntra"/>
    <x v="3"/>
  </r>
  <r>
    <s v="P106"/>
    <s v="Instagram"/>
    <d v="2025-02-04T00:00:00"/>
    <s v="Image"/>
    <s v="Explore the latest image on Myntra! Trendy styles await."/>
    <n v="4619"/>
    <n v="821"/>
    <n v="499"/>
    <n v="69285"/>
    <n v="69141"/>
    <n v="298"/>
    <s v="#MyntraFashion"/>
    <x v="0"/>
  </r>
  <r>
    <s v="P107"/>
    <s v="YouTube"/>
    <d v="2024-06-21T00:00:00"/>
    <s v="Image"/>
    <s v="Explore the latest image on Myntra! Trendy styles await."/>
    <n v="4832"/>
    <n v="893"/>
    <n v="10"/>
    <n v="91808"/>
    <n v="91296"/>
    <n v="182"/>
    <s v="#MyntraSale"/>
    <x v="2"/>
  </r>
  <r>
    <s v="P108"/>
    <s v="Twitter"/>
    <d v="2025-03-25T00:00:00"/>
    <s v="Video"/>
    <s v="Explore the latest video on Myntra! Trendy styles await."/>
    <n v="4050"/>
    <n v="871"/>
    <n v="347"/>
    <n v="52650"/>
    <n v="51755"/>
    <n v="209"/>
    <s v="#StyleWithMyntra"/>
    <x v="0"/>
  </r>
  <r>
    <s v="P109"/>
    <s v="Twitter"/>
    <d v="2024-08-08T00:00:00"/>
    <s v="Story"/>
    <s v="Explore the latest story on Myntra! Trendy styles await."/>
    <n v="3649"/>
    <n v="215"/>
    <n v="413"/>
    <n v="25543"/>
    <n v="24963"/>
    <n v="167"/>
    <s v="#MyntraFashion"/>
    <x v="0"/>
  </r>
  <r>
    <s v="P110"/>
    <s v="Instagram"/>
    <d v="2024-07-29T00:00:00"/>
    <s v="Reel"/>
    <s v="Explore the latest reel on Myntra! Trendy styles await."/>
    <n v="3523"/>
    <n v="753"/>
    <n v="482"/>
    <n v="38753"/>
    <n v="38579"/>
    <n v="270"/>
    <s v="#FashionDeals"/>
    <x v="1"/>
  </r>
  <r>
    <s v="P111"/>
    <s v="YouTube"/>
    <d v="2024-11-23T00:00:00"/>
    <s v="Image"/>
    <s v="Explore the latest image on Myntra! Trendy styles await."/>
    <n v="2719"/>
    <n v="17"/>
    <n v="285"/>
    <n v="40785"/>
    <n v="40281"/>
    <n v="40"/>
    <s v="#MyntraFashion"/>
    <x v="2"/>
  </r>
  <r>
    <s v="P112"/>
    <s v="Twitter"/>
    <d v="2024-10-05T00:00:00"/>
    <s v="Story"/>
    <s v="Explore the latest story on Myntra! Trendy styles await."/>
    <n v="1957"/>
    <n v="877"/>
    <n v="238"/>
    <n v="17613"/>
    <n v="16865"/>
    <n v="297"/>
    <s v="#MyntraFashion"/>
    <x v="2"/>
  </r>
  <r>
    <s v="P113"/>
    <s v="Twitter"/>
    <d v="2024-10-02T00:00:00"/>
    <s v="Carousel"/>
    <s v="Explore the latest carousel on Myntra! Trendy styles await."/>
    <n v="4419"/>
    <n v="236"/>
    <n v="369"/>
    <n v="44190"/>
    <n v="43582"/>
    <n v="10"/>
    <s v="#MyntraTrend"/>
    <x v="3"/>
  </r>
  <r>
    <s v="P114"/>
    <s v="Twitter"/>
    <d v="2024-11-14T00:00:00"/>
    <s v="Story"/>
    <s v="Explore the latest story on Myntra! Trendy styles await."/>
    <n v="4000"/>
    <n v="689"/>
    <n v="488"/>
    <n v="40000"/>
    <n v="39569"/>
    <n v="44"/>
    <s v="#FashionDeals"/>
    <x v="2"/>
  </r>
  <r>
    <s v="P115"/>
    <s v="Twitter"/>
    <d v="2025-05-11T00:00:00"/>
    <s v="Image"/>
    <s v="Explore the latest image on Myntra! Trendy styles await."/>
    <n v="2493"/>
    <n v="97"/>
    <n v="44"/>
    <n v="42381"/>
    <n v="41991"/>
    <n v="242"/>
    <s v="#MyntraSale"/>
    <x v="0"/>
  </r>
  <r>
    <s v="P116"/>
    <s v="YouTube"/>
    <d v="2025-03-18T00:00:00"/>
    <s v="Reel"/>
    <s v="Explore the latest reel on Myntra! Trendy styles await."/>
    <n v="3704"/>
    <n v="186"/>
    <n v="458"/>
    <n v="25928"/>
    <n v="25081"/>
    <n v="131"/>
    <s v="#StyleWithMyntra"/>
    <x v="0"/>
  </r>
  <r>
    <s v="P117"/>
    <s v="Twitter"/>
    <d v="2024-11-04T00:00:00"/>
    <s v="Image"/>
    <s v="Explore the latest image on Myntra! Trendy styles await."/>
    <n v="1606"/>
    <n v="451"/>
    <n v="405"/>
    <n v="20878"/>
    <n v="20190"/>
    <n v="219"/>
    <s v="#MyntraSale"/>
    <x v="1"/>
  </r>
  <r>
    <s v="P118"/>
    <s v="Facebook"/>
    <d v="2024-11-04T00:00:00"/>
    <s v="Image"/>
    <s v="Explore the latest image on Myntra! Trendy styles await."/>
    <n v="4551"/>
    <n v="714"/>
    <n v="207"/>
    <n v="68265"/>
    <n v="67754"/>
    <n v="57"/>
    <s v="#MyntraTrend"/>
    <x v="1"/>
  </r>
  <r>
    <s v="P119"/>
    <s v="Instagram"/>
    <d v="2025-02-07T00:00:00"/>
    <s v="Reel"/>
    <s v="Explore the latest reel on Myntra! Trendy styles await."/>
    <n v="1970"/>
    <n v="675"/>
    <n v="478"/>
    <n v="9850"/>
    <n v="8924"/>
    <n v="117"/>
    <s v="#MyntraTrend"/>
    <x v="3"/>
  </r>
  <r>
    <s v="P120"/>
    <s v="Facebook"/>
    <d v="2024-10-21T00:00:00"/>
    <s v="Story"/>
    <s v="Explore the latest story on Myntra! Trendy styles await."/>
    <n v="780"/>
    <n v="928"/>
    <n v="301"/>
    <n v="8580"/>
    <n v="8081"/>
    <n v="91"/>
    <s v="#MyntraSale"/>
    <x v="3"/>
  </r>
  <r>
    <s v="P121"/>
    <s v="Instagram"/>
    <d v="2024-07-29T00:00:00"/>
    <s v="Story"/>
    <s v="Explore the latest story on Myntra! Trendy styles await."/>
    <n v="498"/>
    <n v="701"/>
    <n v="412"/>
    <n v="4980"/>
    <n v="4185"/>
    <n v="185"/>
    <s v="#FashionDeals"/>
    <x v="3"/>
  </r>
  <r>
    <s v="P122"/>
    <s v="Instagram"/>
    <d v="2024-10-02T00:00:00"/>
    <s v="Text"/>
    <s v="Explore the latest text on Myntra! Trendy styles await."/>
    <n v="3432"/>
    <n v="869"/>
    <n v="123"/>
    <n v="54912"/>
    <n v="53916"/>
    <n v="264"/>
    <s v="#MyntraFashion"/>
    <x v="1"/>
  </r>
  <r>
    <s v="P123"/>
    <s v="Instagram"/>
    <d v="2024-06-14T00:00:00"/>
    <s v="Story"/>
    <s v="Explore the latest story on Myntra! Trendy styles await."/>
    <n v="4363"/>
    <n v="649"/>
    <n v="140"/>
    <n v="21815"/>
    <n v="21481"/>
    <n v="157"/>
    <s v="#MyntraSale"/>
    <x v="1"/>
  </r>
  <r>
    <s v="P124"/>
    <s v="YouTube"/>
    <d v="2025-04-06T00:00:00"/>
    <s v="Carousel"/>
    <s v="Explore the latest carousel on Myntra! Trendy styles await."/>
    <n v="736"/>
    <n v="771"/>
    <n v="225"/>
    <n v="5152"/>
    <n v="4706"/>
    <n v="19"/>
    <s v="#StyleWithMyntra"/>
    <x v="2"/>
  </r>
  <r>
    <s v="P125"/>
    <s v="Twitter"/>
    <d v="2024-09-08T00:00:00"/>
    <s v="Carousel"/>
    <s v="Explore the latest carousel on Myntra! Trendy styles await."/>
    <n v="3811"/>
    <n v="866"/>
    <n v="216"/>
    <n v="34299"/>
    <n v="34088"/>
    <n v="233"/>
    <s v="#StyleWithMyntra"/>
    <x v="2"/>
  </r>
  <r>
    <s v="P126"/>
    <s v="Instagram"/>
    <d v="2025-03-28T00:00:00"/>
    <s v="Carousel"/>
    <s v="Explore the latest carousel on Myntra! Trendy styles await."/>
    <n v="4158"/>
    <n v="167"/>
    <n v="241"/>
    <n v="45738"/>
    <n v="45183"/>
    <n v="142"/>
    <s v="#MyntraFashion"/>
    <x v="1"/>
  </r>
  <r>
    <s v="P127"/>
    <s v="Facebook"/>
    <d v="2025-01-27T00:00:00"/>
    <s v="Reel"/>
    <s v="Explore the latest reel on Myntra! Trendy styles await."/>
    <n v="3452"/>
    <n v="652"/>
    <n v="442"/>
    <n v="65588"/>
    <n v="65049"/>
    <n v="158"/>
    <s v="#MyntraSale"/>
    <x v="0"/>
  </r>
  <r>
    <s v="P128"/>
    <s v="Twitter"/>
    <d v="2025-01-10T00:00:00"/>
    <s v="Image"/>
    <s v="Explore the latest image on Myntra! Trendy styles await."/>
    <n v="3092"/>
    <n v="106"/>
    <n v="291"/>
    <n v="27828"/>
    <n v="27217"/>
    <n v="102"/>
    <s v="#StyleWithMyntra"/>
    <x v="3"/>
  </r>
  <r>
    <s v="P129"/>
    <s v="Twitter"/>
    <d v="2024-07-21T00:00:00"/>
    <s v="Text"/>
    <s v="Explore the latest text on Myntra! Trendy styles await."/>
    <n v="2147"/>
    <n v="430"/>
    <n v="393"/>
    <n v="17176"/>
    <n v="16483"/>
    <n v="170"/>
    <s v="#FashionDeals"/>
    <x v="3"/>
  </r>
  <r>
    <s v="P130"/>
    <s v="YouTube"/>
    <d v="2024-09-29T00:00:00"/>
    <s v="Reel"/>
    <s v="Explore the latest reel on Myntra! Trendy styles await."/>
    <n v="2936"/>
    <n v="439"/>
    <n v="44"/>
    <n v="38168"/>
    <n v="37571"/>
    <n v="22"/>
    <s v="#MyntraSale"/>
    <x v="2"/>
  </r>
  <r>
    <s v="P131"/>
    <s v="Instagram"/>
    <d v="2024-10-21T00:00:00"/>
    <s v="Reel"/>
    <s v="Explore the latest reel on Myntra! Trendy styles await."/>
    <n v="4840"/>
    <n v="658"/>
    <n v="211"/>
    <n v="43560"/>
    <n v="43225"/>
    <n v="57"/>
    <s v="#MyntraSale"/>
    <x v="1"/>
  </r>
  <r>
    <s v="P132"/>
    <s v="Instagram"/>
    <d v="2025-03-04T00:00:00"/>
    <s v="Story"/>
    <s v="Explore the latest story on Myntra! Trendy styles await."/>
    <n v="1947"/>
    <n v="842"/>
    <n v="101"/>
    <n v="21417"/>
    <n v="20967"/>
    <n v="186"/>
    <s v="#MyntraFashion"/>
    <x v="1"/>
  </r>
  <r>
    <s v="P133"/>
    <s v="Facebook"/>
    <d v="2025-02-06T00:00:00"/>
    <s v="Image"/>
    <s v="Explore the latest image on Myntra! Trendy styles await."/>
    <n v="2072"/>
    <n v="532"/>
    <n v="71"/>
    <n v="37296"/>
    <n v="36467"/>
    <n v="25"/>
    <s v="#MyntraSale"/>
    <x v="2"/>
  </r>
  <r>
    <s v="P134"/>
    <s v="Twitter"/>
    <d v="2025-04-24T00:00:00"/>
    <s v="Reel"/>
    <s v="Explore the latest reel on Myntra! Trendy styles await."/>
    <n v="3731"/>
    <n v="115"/>
    <n v="135"/>
    <n v="55965"/>
    <n v="55436"/>
    <n v="103"/>
    <s v="#FashionDeals"/>
    <x v="3"/>
  </r>
  <r>
    <s v="P135"/>
    <s v="Facebook"/>
    <d v="2024-11-28T00:00:00"/>
    <s v="Text"/>
    <s v="Explore the latest text on Myntra! Trendy styles await."/>
    <n v="4213"/>
    <n v="253"/>
    <n v="434"/>
    <n v="75834"/>
    <n v="75437"/>
    <n v="272"/>
    <s v="#MyntraTrend"/>
    <x v="2"/>
  </r>
  <r>
    <s v="P136"/>
    <s v="Instagram"/>
    <d v="2024-07-11T00:00:00"/>
    <s v="Text"/>
    <s v="Explore the latest text on Myntra! Trendy styles await."/>
    <n v="3134"/>
    <n v="888"/>
    <n v="444"/>
    <n v="21938"/>
    <n v="21337"/>
    <n v="130"/>
    <s v="#MyntraSale"/>
    <x v="3"/>
  </r>
  <r>
    <s v="P137"/>
    <s v="Facebook"/>
    <d v="2024-07-31T00:00:00"/>
    <s v="Video"/>
    <s v="Explore the latest video on Myntra! Trendy styles await."/>
    <n v="3008"/>
    <n v="94"/>
    <n v="37"/>
    <n v="15040"/>
    <n v="14639"/>
    <n v="277"/>
    <s v="#FashionDeals"/>
    <x v="0"/>
  </r>
  <r>
    <s v="P138"/>
    <s v="Twitter"/>
    <d v="2025-03-29T00:00:00"/>
    <s v="Image"/>
    <s v="Explore the latest image on Myntra! Trendy styles await."/>
    <n v="305"/>
    <n v="187"/>
    <n v="243"/>
    <n v="4575"/>
    <n v="3704"/>
    <n v="234"/>
    <s v="#MyntraFashion"/>
    <x v="3"/>
  </r>
  <r>
    <s v="P139"/>
    <s v="YouTube"/>
    <d v="2024-10-29T00:00:00"/>
    <s v="Text"/>
    <s v="Explore the latest text on Myntra! Trendy styles await."/>
    <n v="2746"/>
    <n v="156"/>
    <n v="203"/>
    <n v="32952"/>
    <n v="32147"/>
    <n v="147"/>
    <s v="#MyntraFashion"/>
    <x v="1"/>
  </r>
  <r>
    <s v="P140"/>
    <s v="Facebook"/>
    <d v="2024-07-15T00:00:00"/>
    <s v="Image"/>
    <s v="Explore the latest image on Myntra! Trendy styles await."/>
    <n v="2291"/>
    <n v="78"/>
    <n v="485"/>
    <n v="18328"/>
    <n v="18101"/>
    <n v="10"/>
    <s v="#FashionDeals"/>
    <x v="0"/>
  </r>
  <r>
    <s v="P141"/>
    <s v="Twitter"/>
    <d v="2024-08-31T00:00:00"/>
    <s v="Image"/>
    <s v="Explore the latest image on Myntra! Trendy styles await."/>
    <n v="3170"/>
    <n v="857"/>
    <n v="379"/>
    <n v="19020"/>
    <n v="18559"/>
    <n v="240"/>
    <s v="#MyntraSale"/>
    <x v="2"/>
  </r>
  <r>
    <s v="P142"/>
    <s v="YouTube"/>
    <d v="2025-03-25T00:00:00"/>
    <s v="Story"/>
    <s v="Explore the latest story on Myntra! Trendy styles await."/>
    <n v="2070"/>
    <n v="275"/>
    <n v="386"/>
    <n v="39330"/>
    <n v="38627"/>
    <n v="114"/>
    <s v="#MyntraSale"/>
    <x v="3"/>
  </r>
  <r>
    <s v="P143"/>
    <s v="YouTube"/>
    <d v="2024-10-02T00:00:00"/>
    <s v="Carousel"/>
    <s v="Explore the latest carousel on Myntra! Trendy styles await."/>
    <n v="80"/>
    <n v="362"/>
    <n v="80"/>
    <n v="1040"/>
    <n v="349"/>
    <n v="117"/>
    <s v="#MyntraFashion"/>
    <x v="1"/>
  </r>
  <r>
    <s v="P144"/>
    <s v="YouTube"/>
    <d v="2024-10-28T00:00:00"/>
    <s v="Story"/>
    <s v="Explore the latest story on Myntra! Trendy styles await."/>
    <n v="4929"/>
    <n v="749"/>
    <n v="452"/>
    <n v="93651"/>
    <n v="92810"/>
    <n v="66"/>
    <s v="#MyntraTrend"/>
    <x v="0"/>
  </r>
  <r>
    <s v="P145"/>
    <s v="Instagram"/>
    <d v="2024-08-12T00:00:00"/>
    <s v="Carousel"/>
    <s v="Explore the latest carousel on Myntra! Trendy styles await."/>
    <n v="1878"/>
    <n v="62"/>
    <n v="179"/>
    <n v="37560"/>
    <n v="36874"/>
    <n v="142"/>
    <s v="#FashionDeals"/>
    <x v="0"/>
  </r>
  <r>
    <s v="P146"/>
    <s v="YouTube"/>
    <d v="2024-06-05T00:00:00"/>
    <s v="Reel"/>
    <s v="Explore the latest reel on Myntra! Trendy styles await."/>
    <n v="3065"/>
    <n v="772"/>
    <n v="142"/>
    <n v="18390"/>
    <n v="17875"/>
    <n v="200"/>
    <s v="#StyleWithMyntra"/>
    <x v="0"/>
  </r>
  <r>
    <s v="P147"/>
    <s v="Instagram"/>
    <d v="2024-10-21T00:00:00"/>
    <s v="Reel"/>
    <s v="Explore the latest reel on Myntra! Trendy styles await."/>
    <n v="3256"/>
    <n v="459"/>
    <n v="266"/>
    <n v="26048"/>
    <n v="25529"/>
    <n v="143"/>
    <s v="#MyntraSale"/>
    <x v="2"/>
  </r>
  <r>
    <s v="P148"/>
    <s v="Instagram"/>
    <d v="2025-04-15T00:00:00"/>
    <s v="Video"/>
    <s v="Explore the latest video on Myntra! Trendy styles await."/>
    <n v="4133"/>
    <n v="466"/>
    <n v="327"/>
    <n v="24798"/>
    <n v="24620"/>
    <n v="176"/>
    <s v="#StyleWithMyntra"/>
    <x v="1"/>
  </r>
  <r>
    <s v="P149"/>
    <s v="Twitter"/>
    <d v="2024-06-16T00:00:00"/>
    <s v="Video"/>
    <s v="Explore the latest video on Myntra! Trendy styles await."/>
    <n v="1702"/>
    <n v="750"/>
    <n v="179"/>
    <n v="34040"/>
    <n v="33174"/>
    <n v="76"/>
    <s v="#MyntraTrend"/>
    <x v="2"/>
  </r>
  <r>
    <s v="P150"/>
    <s v="YouTube"/>
    <d v="2024-08-22T00:00:00"/>
    <s v="Carousel"/>
    <s v="Explore the latest carousel on Myntra! Trendy styles await."/>
    <n v="4295"/>
    <n v="853"/>
    <n v="325"/>
    <n v="85900"/>
    <n v="85788"/>
    <n v="290"/>
    <s v="#MyntraTrend"/>
    <x v="1"/>
  </r>
  <r>
    <s v="P151"/>
    <s v="Instagram"/>
    <d v="2024-07-26T00:00:00"/>
    <s v="Image"/>
    <s v="Explore the latest image on Myntra! Trendy styles await."/>
    <n v="3559"/>
    <n v="59"/>
    <n v="289"/>
    <n v="35590"/>
    <n v="35105"/>
    <n v="122"/>
    <s v="#MyntraTrend"/>
    <x v="2"/>
  </r>
  <r>
    <s v="P152"/>
    <s v="Facebook"/>
    <d v="2025-04-22T00:00:00"/>
    <s v="Image"/>
    <s v="Explore the latest image on Myntra! Trendy styles await."/>
    <n v="4804"/>
    <n v="550"/>
    <n v="270"/>
    <n v="28824"/>
    <n v="28370"/>
    <n v="47"/>
    <s v="#MyntraSale"/>
    <x v="3"/>
  </r>
  <r>
    <s v="P153"/>
    <s v="Twitter"/>
    <d v="2025-01-01T00:00:00"/>
    <s v="Video"/>
    <s v="Explore the latest video on Myntra! Trendy styles await."/>
    <n v="754"/>
    <n v="197"/>
    <n v="257"/>
    <n v="6786"/>
    <n v="6221"/>
    <n v="212"/>
    <s v="#FashionDeals"/>
    <x v="2"/>
  </r>
  <r>
    <s v="P154"/>
    <s v="Instagram"/>
    <d v="2024-10-09T00:00:00"/>
    <s v="Carousel"/>
    <s v="Explore the latest carousel on Myntra! Trendy styles await."/>
    <n v="985"/>
    <n v="932"/>
    <n v="287"/>
    <n v="6895"/>
    <n v="6757"/>
    <n v="64"/>
    <s v="#MyntraSale"/>
    <x v="1"/>
  </r>
  <r>
    <s v="P155"/>
    <s v="YouTube"/>
    <d v="2024-12-21T00:00:00"/>
    <s v="Image"/>
    <s v="Explore the latest image on Myntra! Trendy styles await."/>
    <n v="2283"/>
    <n v="210"/>
    <n v="130"/>
    <n v="22830"/>
    <n v="22617"/>
    <n v="143"/>
    <s v="#MyntraFashion"/>
    <x v="2"/>
  </r>
  <r>
    <s v="P156"/>
    <s v="Facebook"/>
    <d v="2024-10-22T00:00:00"/>
    <s v="Carousel"/>
    <s v="Explore the latest carousel on Myntra! Trendy styles await."/>
    <n v="3352"/>
    <n v="941"/>
    <n v="482"/>
    <n v="43576"/>
    <n v="43338"/>
    <n v="240"/>
    <s v="#MyntraTrend"/>
    <x v="2"/>
  </r>
  <r>
    <s v="P157"/>
    <s v="YouTube"/>
    <d v="2024-07-23T00:00:00"/>
    <s v="Story"/>
    <s v="Explore the latest story on Myntra! Trendy styles await."/>
    <n v="4775"/>
    <n v="173"/>
    <n v="206"/>
    <n v="47750"/>
    <n v="47544"/>
    <n v="187"/>
    <s v="#StyleWithMyntra"/>
    <x v="3"/>
  </r>
  <r>
    <s v="P158"/>
    <s v="Instagram"/>
    <d v="2024-08-11T00:00:00"/>
    <s v="Story"/>
    <s v="Explore the latest story on Myntra! Trendy styles await."/>
    <n v="1762"/>
    <n v="405"/>
    <n v="423"/>
    <n v="22906"/>
    <n v="21925"/>
    <n v="25"/>
    <s v="#FashionDeals"/>
    <x v="1"/>
  </r>
  <r>
    <s v="P159"/>
    <s v="Facebook"/>
    <d v="2024-11-25T00:00:00"/>
    <s v="Story"/>
    <s v="Explore the latest story on Myntra! Trendy styles await."/>
    <n v="2120"/>
    <n v="158"/>
    <n v="488"/>
    <n v="12720"/>
    <n v="12085"/>
    <n v="17"/>
    <s v="#StyleWithMyntra"/>
    <x v="1"/>
  </r>
  <r>
    <s v="P160"/>
    <s v="Twitter"/>
    <d v="2024-08-24T00:00:00"/>
    <s v="Video"/>
    <s v="Explore the latest video on Myntra! Trendy styles await."/>
    <n v="1082"/>
    <n v="209"/>
    <n v="484"/>
    <n v="19476"/>
    <n v="18654"/>
    <n v="20"/>
    <s v="#StyleWithMyntra"/>
    <x v="3"/>
  </r>
  <r>
    <s v="P161"/>
    <s v="Twitter"/>
    <d v="2025-02-19T00:00:00"/>
    <s v="Text"/>
    <s v="Explore the latest text on Myntra! Trendy styles await."/>
    <n v="4671"/>
    <n v="876"/>
    <n v="366"/>
    <n v="51381"/>
    <n v="50565"/>
    <n v="245"/>
    <s v="#MyntraSale"/>
    <x v="1"/>
  </r>
  <r>
    <s v="P162"/>
    <s v="Facebook"/>
    <d v="2025-04-01T00:00:00"/>
    <s v="Story"/>
    <s v="Explore the latest story on Myntra! Trendy styles await."/>
    <n v="3430"/>
    <n v="566"/>
    <n v="164"/>
    <n v="48020"/>
    <n v="47305"/>
    <n v="120"/>
    <s v="#MyntraTrend"/>
    <x v="1"/>
  </r>
  <r>
    <s v="P163"/>
    <s v="Instagram"/>
    <d v="2025-04-08T00:00:00"/>
    <s v="Image"/>
    <s v="Explore the latest image on Myntra! Trendy styles await."/>
    <n v="4501"/>
    <n v="375"/>
    <n v="323"/>
    <n v="22505"/>
    <n v="21836"/>
    <n v="132"/>
    <s v="#MyntraFashion"/>
    <x v="3"/>
  </r>
  <r>
    <s v="P164"/>
    <s v="YouTube"/>
    <d v="2025-02-27T00:00:00"/>
    <s v="Text"/>
    <s v="Explore the latest text on Myntra! Trendy styles await."/>
    <n v="4934"/>
    <n v="971"/>
    <n v="156"/>
    <n v="39472"/>
    <n v="39025"/>
    <n v="169"/>
    <s v="#FashionDeals"/>
    <x v="1"/>
  </r>
  <r>
    <s v="P165"/>
    <s v="Twitter"/>
    <d v="2024-12-11T00:00:00"/>
    <s v="Text"/>
    <s v="Explore the latest text on Myntra! Trendy styles await."/>
    <n v="3239"/>
    <n v="43"/>
    <n v="211"/>
    <n v="22673"/>
    <n v="22171"/>
    <n v="230"/>
    <s v="#MyntraTrend"/>
    <x v="1"/>
  </r>
  <r>
    <s v="P166"/>
    <s v="Twitter"/>
    <d v="2025-02-16T00:00:00"/>
    <s v="Reel"/>
    <s v="Explore the latest reel on Myntra! Trendy styles await."/>
    <n v="1076"/>
    <n v="313"/>
    <n v="306"/>
    <n v="11836"/>
    <n v="11596"/>
    <n v="104"/>
    <s v="#FashionDeals"/>
    <x v="1"/>
  </r>
  <r>
    <s v="P167"/>
    <s v="Instagram"/>
    <d v="2024-11-28T00:00:00"/>
    <s v="Text"/>
    <s v="Explore the latest text on Myntra! Trendy styles await."/>
    <n v="4771"/>
    <n v="818"/>
    <n v="56"/>
    <n v="57252"/>
    <n v="56378"/>
    <n v="150"/>
    <s v="#MyntraSale"/>
    <x v="1"/>
  </r>
  <r>
    <s v="P168"/>
    <s v="Facebook"/>
    <d v="2024-11-12T00:00:00"/>
    <s v="Text"/>
    <s v="Explore the latest text on Myntra! Trendy styles await."/>
    <n v="2418"/>
    <n v="754"/>
    <n v="54"/>
    <n v="43524"/>
    <n v="42743"/>
    <n v="182"/>
    <s v="#MyntraFashion"/>
    <x v="3"/>
  </r>
  <r>
    <s v="P169"/>
    <s v="YouTube"/>
    <d v="2024-12-03T00:00:00"/>
    <s v="Video"/>
    <s v="Explore the latest video on Myntra! Trendy styles await."/>
    <n v="3809"/>
    <n v="273"/>
    <n v="200"/>
    <n v="34281"/>
    <n v="33534"/>
    <n v="83"/>
    <s v="#MyntraTrend"/>
    <x v="2"/>
  </r>
  <r>
    <s v="P170"/>
    <s v="Twitter"/>
    <d v="2025-04-28T00:00:00"/>
    <s v="Text"/>
    <s v="Explore the latest text on Myntra! Trendy styles await."/>
    <n v="3577"/>
    <n v="596"/>
    <n v="493"/>
    <n v="67963"/>
    <n v="67839"/>
    <n v="53"/>
    <s v="#StyleWithMyntra"/>
    <x v="3"/>
  </r>
  <r>
    <s v="P171"/>
    <s v="YouTube"/>
    <d v="2024-12-31T00:00:00"/>
    <s v="Video"/>
    <s v="Explore the latest video on Myntra! Trendy styles await."/>
    <n v="1018"/>
    <n v="447"/>
    <n v="332"/>
    <n v="18324"/>
    <n v="18164"/>
    <n v="38"/>
    <s v="#MyntraSale"/>
    <x v="3"/>
  </r>
  <r>
    <s v="P172"/>
    <s v="Facebook"/>
    <d v="2024-08-14T00:00:00"/>
    <s v="Carousel"/>
    <s v="Explore the latest carousel on Myntra! Trendy styles await."/>
    <n v="3073"/>
    <n v="553"/>
    <n v="174"/>
    <n v="52241"/>
    <n v="51605"/>
    <n v="246"/>
    <s v="#MyntraFashion"/>
    <x v="3"/>
  </r>
  <r>
    <s v="P173"/>
    <s v="Twitter"/>
    <d v="2024-12-05T00:00:00"/>
    <s v="Video"/>
    <s v="Explore the latest video on Myntra! Trendy styles await."/>
    <n v="1330"/>
    <n v="925"/>
    <n v="35"/>
    <n v="15960"/>
    <n v="15379"/>
    <n v="229"/>
    <s v="#FashionDeals"/>
    <x v="3"/>
  </r>
  <r>
    <s v="P174"/>
    <s v="Facebook"/>
    <d v="2024-06-22T00:00:00"/>
    <s v="Text"/>
    <s v="Explore the latest text on Myntra! Trendy styles await."/>
    <n v="3828"/>
    <n v="148"/>
    <n v="253"/>
    <n v="30624"/>
    <n v="30229"/>
    <n v="235"/>
    <s v="#MyntraSale"/>
    <x v="3"/>
  </r>
  <r>
    <s v="P175"/>
    <s v="Instagram"/>
    <d v="2025-01-17T00:00:00"/>
    <s v="Reel"/>
    <s v="Explore the latest reel on Myntra! Trendy styles await."/>
    <n v="142"/>
    <n v="784"/>
    <n v="183"/>
    <n v="1704"/>
    <n v="995"/>
    <n v="154"/>
    <s v="#MyntraSale"/>
    <x v="0"/>
  </r>
  <r>
    <s v="P176"/>
    <s v="Facebook"/>
    <d v="2024-06-20T00:00:00"/>
    <s v="Video"/>
    <s v="Explore the latest video on Myntra! Trendy styles await."/>
    <n v="3798"/>
    <n v="31"/>
    <n v="279"/>
    <n v="75960"/>
    <n v="75813"/>
    <n v="266"/>
    <s v="#MyntraFashion"/>
    <x v="1"/>
  </r>
  <r>
    <s v="P177"/>
    <s v="Instagram"/>
    <d v="2024-07-10T00:00:00"/>
    <s v="Carousel"/>
    <s v="Explore the latest carousel on Myntra! Trendy styles await."/>
    <n v="3099"/>
    <n v="694"/>
    <n v="171"/>
    <n v="43386"/>
    <n v="42921"/>
    <n v="52"/>
    <s v="#FashionDeals"/>
    <x v="3"/>
  </r>
  <r>
    <s v="P178"/>
    <s v="Instagram"/>
    <d v="2024-11-07T00:00:00"/>
    <s v="Video"/>
    <s v="Explore the latest video on Myntra! Trendy styles await."/>
    <n v="129"/>
    <n v="643"/>
    <n v="136"/>
    <n v="1290"/>
    <n v="839"/>
    <n v="238"/>
    <s v="#StyleWithMyntra"/>
    <x v="3"/>
  </r>
  <r>
    <s v="P179"/>
    <s v="Facebook"/>
    <d v="2024-07-15T00:00:00"/>
    <s v="Carousel"/>
    <s v="Explore the latest carousel on Myntra! Trendy styles await."/>
    <n v="3796"/>
    <n v="667"/>
    <n v="395"/>
    <n v="64532"/>
    <n v="63550"/>
    <n v="292"/>
    <s v="#StyleWithMyntra"/>
    <x v="0"/>
  </r>
  <r>
    <s v="P180"/>
    <s v="YouTube"/>
    <d v="2024-12-03T00:00:00"/>
    <s v="Text"/>
    <s v="Explore the latest text on Myntra! Trendy styles await."/>
    <n v="3711"/>
    <n v="352"/>
    <n v="290"/>
    <n v="48243"/>
    <n v="47579"/>
    <n v="11"/>
    <s v="#StyleWithMyntra"/>
    <x v="3"/>
  </r>
  <r>
    <s v="P181"/>
    <s v="YouTube"/>
    <d v="2025-03-21T00:00:00"/>
    <s v="Image"/>
    <s v="Explore the latest image on Myntra! Trendy styles await."/>
    <n v="606"/>
    <n v="789"/>
    <n v="470"/>
    <n v="7878"/>
    <n v="7389"/>
    <n v="239"/>
    <s v="#MyntraSale"/>
    <x v="1"/>
  </r>
  <r>
    <s v="P182"/>
    <s v="Facebook"/>
    <d v="2024-07-31T00:00:00"/>
    <s v="Image"/>
    <s v="Explore the latest image on Myntra! Trendy styles await."/>
    <n v="4689"/>
    <n v="134"/>
    <n v="403"/>
    <n v="51579"/>
    <n v="50924"/>
    <n v="173"/>
    <s v="#FashionDeals"/>
    <x v="0"/>
  </r>
  <r>
    <s v="P183"/>
    <s v="Instagram"/>
    <d v="2024-12-17T00:00:00"/>
    <s v="Story"/>
    <s v="Explore the latest story on Myntra! Trendy styles await."/>
    <n v="360"/>
    <n v="590"/>
    <n v="393"/>
    <n v="4680"/>
    <n v="4322"/>
    <n v="208"/>
    <s v="#StyleWithMyntra"/>
    <x v="1"/>
  </r>
  <r>
    <s v="P184"/>
    <s v="Twitter"/>
    <d v="2024-07-28T00:00:00"/>
    <s v="Image"/>
    <s v="Explore the latest image on Myntra! Trendy styles await."/>
    <n v="3215"/>
    <n v="960"/>
    <n v="202"/>
    <n v="32150"/>
    <n v="31404"/>
    <n v="251"/>
    <s v="#StyleWithMyntra"/>
    <x v="2"/>
  </r>
  <r>
    <s v="P185"/>
    <s v="Instagram"/>
    <d v="2025-01-11T00:00:00"/>
    <s v="Carousel"/>
    <s v="Explore the latest carousel on Myntra! Trendy styles await."/>
    <n v="4523"/>
    <n v="61"/>
    <n v="157"/>
    <n v="49753"/>
    <n v="49329"/>
    <n v="71"/>
    <s v="#MyntraSale"/>
    <x v="3"/>
  </r>
  <r>
    <s v="P186"/>
    <s v="Facebook"/>
    <d v="2024-08-24T00:00:00"/>
    <s v="Carousel"/>
    <s v="Explore the latest carousel on Myntra! Trendy styles await."/>
    <n v="4292"/>
    <n v="51"/>
    <n v="392"/>
    <n v="55796"/>
    <n v="54826"/>
    <n v="264"/>
    <s v="#MyntraTrend"/>
    <x v="0"/>
  </r>
  <r>
    <s v="P187"/>
    <s v="Twitter"/>
    <d v="2024-12-22T00:00:00"/>
    <s v="Reel"/>
    <s v="Explore the latest reel on Myntra! Trendy styles await."/>
    <n v="1644"/>
    <n v="546"/>
    <n v="150"/>
    <n v="27948"/>
    <n v="27184"/>
    <n v="300"/>
    <s v="#MyntraSale"/>
    <x v="0"/>
  </r>
  <r>
    <s v="P188"/>
    <s v="YouTube"/>
    <d v="2024-06-06T00:00:00"/>
    <s v="Reel"/>
    <s v="Explore the latest reel on Myntra! Trendy styles await."/>
    <n v="2728"/>
    <n v="533"/>
    <n v="215"/>
    <n v="40920"/>
    <n v="40816"/>
    <n v="137"/>
    <s v="#MyntraSale"/>
    <x v="1"/>
  </r>
  <r>
    <s v="P189"/>
    <s v="Facebook"/>
    <d v="2025-03-24T00:00:00"/>
    <s v="Reel"/>
    <s v="Explore the latest reel on Myntra! Trendy styles await."/>
    <n v="3360"/>
    <n v="525"/>
    <n v="500"/>
    <n v="60480"/>
    <n v="59610"/>
    <n v="192"/>
    <s v="#MyntraSale"/>
    <x v="0"/>
  </r>
  <r>
    <s v="P190"/>
    <s v="YouTube"/>
    <d v="2024-10-04T00:00:00"/>
    <s v="Text"/>
    <s v="Explore the latest text on Myntra! Trendy styles await."/>
    <n v="1963"/>
    <n v="213"/>
    <n v="19"/>
    <n v="39260"/>
    <n v="38771"/>
    <n v="145"/>
    <s v="#StyleWithMyntra"/>
    <x v="0"/>
  </r>
  <r>
    <s v="P191"/>
    <s v="YouTube"/>
    <d v="2024-12-03T00:00:00"/>
    <s v="Story"/>
    <s v="Explore the latest story on Myntra! Trendy styles await."/>
    <n v="4285"/>
    <n v="886"/>
    <n v="376"/>
    <n v="55705"/>
    <n v="55556"/>
    <n v="51"/>
    <s v="#MyntraFashion"/>
    <x v="3"/>
  </r>
  <r>
    <s v="P192"/>
    <s v="Instagram"/>
    <d v="2024-11-29T00:00:00"/>
    <s v="Video"/>
    <s v="Explore the latest video on Myntra! Trendy styles await."/>
    <n v="1176"/>
    <n v="464"/>
    <n v="394"/>
    <n v="14112"/>
    <n v="13588"/>
    <n v="272"/>
    <s v="#FashionDeals"/>
    <x v="0"/>
  </r>
  <r>
    <s v="P193"/>
    <s v="Twitter"/>
    <d v="2024-09-11T00:00:00"/>
    <s v="Image"/>
    <s v="Explore the latest image on Myntra! Trendy styles await."/>
    <n v="4858"/>
    <n v="317"/>
    <n v="129"/>
    <n v="53438"/>
    <n v="52687"/>
    <n v="223"/>
    <s v="#FashionDeals"/>
    <x v="0"/>
  </r>
  <r>
    <s v="P194"/>
    <s v="YouTube"/>
    <d v="2024-10-02T00:00:00"/>
    <s v="Story"/>
    <s v="Explore the latest story on Myntra! Trendy styles await."/>
    <n v="4350"/>
    <n v="771"/>
    <n v="7"/>
    <n v="60900"/>
    <n v="60592"/>
    <n v="195"/>
    <s v="#FashionDeals"/>
    <x v="1"/>
  </r>
  <r>
    <s v="P195"/>
    <s v="Instagram"/>
    <d v="2024-08-15T00:00:00"/>
    <s v="Carousel"/>
    <s v="Explore the latest carousel on Myntra! Trendy styles await."/>
    <n v="914"/>
    <n v="464"/>
    <n v="246"/>
    <n v="11882"/>
    <n v="11500"/>
    <n v="282"/>
    <s v="#MyntraFashion"/>
    <x v="2"/>
  </r>
  <r>
    <s v="P196"/>
    <s v="Instagram"/>
    <d v="2024-12-19T00:00:00"/>
    <s v="Text"/>
    <s v="Explore the latest text on Myntra! Trendy styles await."/>
    <n v="1813"/>
    <n v="623"/>
    <n v="72"/>
    <n v="19943"/>
    <n v="18959"/>
    <n v="85"/>
    <s v="#MyntraTrend"/>
    <x v="2"/>
  </r>
  <r>
    <s v="P197"/>
    <s v="Twitter"/>
    <d v="2024-10-22T00:00:00"/>
    <s v="Reel"/>
    <s v="Explore the latest reel on Myntra! Trendy styles await."/>
    <n v="4782"/>
    <n v="721"/>
    <n v="82"/>
    <n v="86076"/>
    <n v="85339"/>
    <n v="19"/>
    <s v="#FashionDeals"/>
    <x v="1"/>
  </r>
  <r>
    <s v="P198"/>
    <s v="Twitter"/>
    <d v="2024-09-14T00:00:00"/>
    <s v="Image"/>
    <s v="Explore the latest image on Myntra! Trendy styles await."/>
    <n v="1048"/>
    <n v="374"/>
    <n v="450"/>
    <n v="9432"/>
    <n v="8882"/>
    <n v="158"/>
    <s v="#MyntraTrend"/>
    <x v="1"/>
  </r>
  <r>
    <s v="P199"/>
    <s v="YouTube"/>
    <d v="2024-11-30T00:00:00"/>
    <s v="Carousel"/>
    <s v="Explore the latest carousel on Myntra! Trendy styles await."/>
    <n v="2509"/>
    <n v="324"/>
    <n v="171"/>
    <n v="35126"/>
    <n v="34685"/>
    <n v="277"/>
    <s v="#FashionDeals"/>
    <x v="1"/>
  </r>
  <r>
    <s v="P200"/>
    <s v="Facebook"/>
    <d v="2025-04-07T00:00:00"/>
    <s v="Reel"/>
    <s v="Explore the latest reel on Myntra! Trendy styles await."/>
    <n v="3718"/>
    <n v="385"/>
    <n v="310"/>
    <n v="70642"/>
    <n v="69749"/>
    <n v="233"/>
    <s v="#MyntraTrend"/>
    <x v="0"/>
  </r>
  <r>
    <s v="P201"/>
    <s v="Twitter"/>
    <d v="2025-01-15T00:00:00"/>
    <s v="Reel"/>
    <s v="Explore the latest reel on Myntra! Trendy styles await."/>
    <n v="802"/>
    <n v="262"/>
    <n v="244"/>
    <n v="14436"/>
    <n v="14280"/>
    <n v="49"/>
    <s v="#MyntraSale"/>
    <x v="3"/>
  </r>
  <r>
    <s v="P202"/>
    <s v="Facebook"/>
    <d v="2024-06-02T00:00:00"/>
    <s v="Image"/>
    <s v="Explore the latest image on Myntra! Trendy styles await."/>
    <n v="1871"/>
    <n v="252"/>
    <n v="335"/>
    <n v="29936"/>
    <n v="29576"/>
    <n v="288"/>
    <s v="#MyntraTrend"/>
    <x v="1"/>
  </r>
  <r>
    <s v="P203"/>
    <s v="Instagram"/>
    <d v="2024-11-21T00:00:00"/>
    <s v="Carousel"/>
    <s v="Explore the latest carousel on Myntra! Trendy styles await."/>
    <n v="3773"/>
    <n v="299"/>
    <n v="38"/>
    <n v="71687"/>
    <n v="71447"/>
    <n v="286"/>
    <s v="#MyntraTrend"/>
    <x v="3"/>
  </r>
  <r>
    <s v="P204"/>
    <s v="Instagram"/>
    <d v="2025-01-01T00:00:00"/>
    <s v="Carousel"/>
    <s v="Explore the latest carousel on Myntra! Trendy styles await."/>
    <n v="2234"/>
    <n v="653"/>
    <n v="432"/>
    <n v="11170"/>
    <n v="10569"/>
    <n v="198"/>
    <s v="#FashionDeals"/>
    <x v="3"/>
  </r>
  <r>
    <s v="P205"/>
    <s v="Twitter"/>
    <d v="2025-04-24T00:00:00"/>
    <s v="Video"/>
    <s v="Explore the latest video on Myntra! Trendy styles await."/>
    <n v="3820"/>
    <n v="697"/>
    <n v="268"/>
    <n v="45840"/>
    <n v="45631"/>
    <n v="171"/>
    <s v="#StyleWithMyntra"/>
    <x v="0"/>
  </r>
  <r>
    <s v="P206"/>
    <s v="Twitter"/>
    <d v="2024-06-24T00:00:00"/>
    <s v="Text"/>
    <s v="Explore the latest text on Myntra! Trendy styles await."/>
    <n v="941"/>
    <n v="121"/>
    <n v="458"/>
    <n v="14115"/>
    <n v="13838"/>
    <n v="87"/>
    <s v="#MyntraFashion"/>
    <x v="1"/>
  </r>
  <r>
    <s v="P207"/>
    <s v="Twitter"/>
    <d v="2024-12-29T00:00:00"/>
    <s v="Carousel"/>
    <s v="Explore the latest carousel on Myntra! Trendy styles await."/>
    <n v="4274"/>
    <n v="340"/>
    <n v="281"/>
    <n v="34192"/>
    <n v="33446"/>
    <n v="129"/>
    <s v="#StyleWithMyntra"/>
    <x v="2"/>
  </r>
  <r>
    <s v="P208"/>
    <s v="YouTube"/>
    <d v="2024-06-24T00:00:00"/>
    <s v="Video"/>
    <s v="Explore the latest video on Myntra! Trendy styles await."/>
    <n v="2949"/>
    <n v="476"/>
    <n v="403"/>
    <n v="44235"/>
    <n v="43705"/>
    <n v="135"/>
    <s v="#MyntraTrend"/>
    <x v="0"/>
  </r>
  <r>
    <s v="P209"/>
    <s v="Twitter"/>
    <d v="2025-03-19T00:00:00"/>
    <s v="Video"/>
    <s v="Explore the latest video on Myntra! Trendy styles await."/>
    <n v="3160"/>
    <n v="204"/>
    <n v="297"/>
    <n v="44240"/>
    <n v="43666"/>
    <n v="49"/>
    <s v="#StyleWithMyntra"/>
    <x v="0"/>
  </r>
  <r>
    <s v="P210"/>
    <s v="YouTube"/>
    <d v="2025-02-19T00:00:00"/>
    <s v="Image"/>
    <s v="Explore the latest image on Myntra! Trendy styles await."/>
    <n v="257"/>
    <n v="966"/>
    <n v="398"/>
    <n v="3341"/>
    <n v="2753"/>
    <n v="287"/>
    <s v="#MyntraTrend"/>
    <x v="0"/>
  </r>
  <r>
    <s v="P211"/>
    <s v="Twitter"/>
    <d v="2024-07-18T00:00:00"/>
    <s v="Carousel"/>
    <s v="Explore the latest carousel on Myntra! Trendy styles await."/>
    <n v="2120"/>
    <n v="38"/>
    <n v="212"/>
    <n v="12720"/>
    <n v="12564"/>
    <n v="21"/>
    <s v="#MyntraTrend"/>
    <x v="0"/>
  </r>
  <r>
    <s v="P212"/>
    <s v="YouTube"/>
    <d v="2025-03-03T00:00:00"/>
    <s v="Video"/>
    <s v="Explore the latest video on Myntra! Trendy styles await."/>
    <n v="3874"/>
    <n v="884"/>
    <n v="19"/>
    <n v="38740"/>
    <n v="38552"/>
    <n v="219"/>
    <s v="#StyleWithMyntra"/>
    <x v="3"/>
  </r>
  <r>
    <s v="P213"/>
    <s v="Facebook"/>
    <d v="2025-05-01T00:00:00"/>
    <s v="Carousel"/>
    <s v="Explore the latest carousel on Myntra! Trendy styles await."/>
    <n v="2696"/>
    <n v="628"/>
    <n v="443"/>
    <n v="45832"/>
    <n v="45632"/>
    <n v="248"/>
    <s v="#MyntraSale"/>
    <x v="2"/>
  </r>
  <r>
    <s v="P214"/>
    <s v="Instagram"/>
    <d v="2024-12-23T00:00:00"/>
    <s v="Image"/>
    <s v="Explore the latest image on Myntra! Trendy styles await."/>
    <n v="521"/>
    <n v="746"/>
    <n v="315"/>
    <n v="4168"/>
    <n v="3399"/>
    <n v="282"/>
    <s v="#MyntraSale"/>
    <x v="0"/>
  </r>
  <r>
    <s v="P215"/>
    <s v="Facebook"/>
    <d v="2025-05-06T00:00:00"/>
    <s v="Image"/>
    <s v="Explore the latest image on Myntra! Trendy styles await."/>
    <n v="4872"/>
    <n v="925"/>
    <n v="176"/>
    <n v="82824"/>
    <n v="82543"/>
    <n v="89"/>
    <s v="#MyntraSale"/>
    <x v="0"/>
  </r>
  <r>
    <s v="P216"/>
    <s v="YouTube"/>
    <d v="2024-07-29T00:00:00"/>
    <s v="Story"/>
    <s v="Explore the latest story on Myntra! Trendy styles await."/>
    <n v="1509"/>
    <n v="88"/>
    <n v="163"/>
    <n v="30180"/>
    <n v="29689"/>
    <n v="119"/>
    <s v="#MyntraTrend"/>
    <x v="0"/>
  </r>
  <r>
    <s v="P217"/>
    <s v="Facebook"/>
    <d v="2024-12-03T00:00:00"/>
    <s v="Image"/>
    <s v="Explore the latest image on Myntra! Trendy styles await."/>
    <n v="4606"/>
    <n v="931"/>
    <n v="230"/>
    <n v="92120"/>
    <n v="91440"/>
    <n v="56"/>
    <s v="#FashionDeals"/>
    <x v="2"/>
  </r>
  <r>
    <s v="P218"/>
    <s v="Facebook"/>
    <d v="2024-06-11T00:00:00"/>
    <s v="Carousel"/>
    <s v="Explore the latest carousel on Myntra! Trendy styles await."/>
    <n v="1869"/>
    <n v="453"/>
    <n v="490"/>
    <n v="14952"/>
    <n v="14309"/>
    <n v="275"/>
    <s v="#FashionDeals"/>
    <x v="0"/>
  </r>
  <r>
    <s v="P219"/>
    <s v="Twitter"/>
    <d v="2025-01-28T00:00:00"/>
    <s v="Reel"/>
    <s v="Explore the latest reel on Myntra! Trendy styles await."/>
    <n v="1188"/>
    <n v="470"/>
    <n v="174"/>
    <n v="7128"/>
    <n v="6145"/>
    <n v="270"/>
    <s v="#StyleWithMyntra"/>
    <x v="1"/>
  </r>
  <r>
    <s v="P220"/>
    <s v="Instagram"/>
    <d v="2024-06-02T00:00:00"/>
    <s v="Story"/>
    <s v="Explore the latest story on Myntra! Trendy styles await."/>
    <n v="84"/>
    <n v="897"/>
    <n v="85"/>
    <n v="588"/>
    <n v="8"/>
    <n v="12"/>
    <s v="#StyleWithMyntra"/>
    <x v="1"/>
  </r>
  <r>
    <s v="P221"/>
    <s v="Facebook"/>
    <d v="2025-03-23T00:00:00"/>
    <s v="Video"/>
    <s v="Explore the latest video on Myntra! Trendy styles await."/>
    <n v="4453"/>
    <n v="111"/>
    <n v="420"/>
    <n v="31171"/>
    <n v="30565"/>
    <n v="23"/>
    <s v="#MyntraTrend"/>
    <x v="3"/>
  </r>
  <r>
    <s v="P222"/>
    <s v="Facebook"/>
    <d v="2024-10-08T00:00:00"/>
    <s v="Reel"/>
    <s v="Explore the latest reel on Myntra! Trendy styles await."/>
    <n v="1814"/>
    <n v="653"/>
    <n v="363"/>
    <n v="25396"/>
    <n v="25286"/>
    <n v="39"/>
    <s v="#StyleWithMyntra"/>
    <x v="0"/>
  </r>
  <r>
    <s v="P223"/>
    <s v="Twitter"/>
    <d v="2024-11-12T00:00:00"/>
    <s v="Image"/>
    <s v="Explore the latest image on Myntra! Trendy styles await."/>
    <n v="3338"/>
    <n v="277"/>
    <n v="118"/>
    <n v="60084"/>
    <n v="59842"/>
    <n v="252"/>
    <s v="#StyleWithMyntra"/>
    <x v="0"/>
  </r>
  <r>
    <s v="P224"/>
    <s v="Facebook"/>
    <d v="2025-05-13T00:00:00"/>
    <s v="Image"/>
    <s v="Explore the latest image on Myntra! Trendy styles await."/>
    <n v="602"/>
    <n v="594"/>
    <n v="156"/>
    <n v="4214"/>
    <n v="3363"/>
    <n v="164"/>
    <s v="#MyntraSale"/>
    <x v="2"/>
  </r>
  <r>
    <s v="P225"/>
    <s v="Twitter"/>
    <d v="2024-06-20T00:00:00"/>
    <s v="Carousel"/>
    <s v="Explore the latest carousel on Myntra! Trendy styles await."/>
    <n v="4672"/>
    <n v="325"/>
    <n v="32"/>
    <n v="88768"/>
    <n v="87833"/>
    <n v="118"/>
    <s v="#FashionDeals"/>
    <x v="2"/>
  </r>
  <r>
    <s v="P226"/>
    <s v="Instagram"/>
    <d v="2024-08-07T00:00:00"/>
    <s v="Carousel"/>
    <s v="Explore the latest carousel on Myntra! Trendy styles await."/>
    <n v="1741"/>
    <n v="164"/>
    <n v="318"/>
    <n v="8705"/>
    <n v="8272"/>
    <n v="121"/>
    <s v="#MyntraSale"/>
    <x v="1"/>
  </r>
  <r>
    <s v="P227"/>
    <s v="Instagram"/>
    <d v="2024-06-12T00:00:00"/>
    <s v="Text"/>
    <s v="Explore the latest text on Myntra! Trendy styles await."/>
    <n v="246"/>
    <n v="149"/>
    <n v="130"/>
    <n v="4674"/>
    <n v="4390"/>
    <n v="217"/>
    <s v="#MyntraTrend"/>
    <x v="1"/>
  </r>
  <r>
    <s v="P228"/>
    <s v="Instagram"/>
    <d v="2024-07-01T00:00:00"/>
    <s v="Story"/>
    <s v="Explore the latest story on Myntra! Trendy styles await."/>
    <n v="4808"/>
    <n v="772"/>
    <n v="320"/>
    <n v="72120"/>
    <n v="71696"/>
    <n v="195"/>
    <s v="#MyntraTrend"/>
    <x v="3"/>
  </r>
  <r>
    <s v="P229"/>
    <s v="Instagram"/>
    <d v="2024-07-03T00:00:00"/>
    <s v="Carousel"/>
    <s v="Explore the latest carousel on Myntra! Trendy styles await."/>
    <n v="4799"/>
    <n v="694"/>
    <n v="289"/>
    <n v="43191"/>
    <n v="42228"/>
    <n v="118"/>
    <s v="#MyntraTrend"/>
    <x v="1"/>
  </r>
  <r>
    <s v="P230"/>
    <s v="Facebook"/>
    <d v="2024-07-15T00:00:00"/>
    <s v="Reel"/>
    <s v="Explore the latest reel on Myntra! Trendy styles await."/>
    <n v="3663"/>
    <n v="17"/>
    <n v="295"/>
    <n v="51282"/>
    <n v="50567"/>
    <n v="84"/>
    <s v="#MyntraSale"/>
    <x v="0"/>
  </r>
  <r>
    <s v="P231"/>
    <s v="Instagram"/>
    <d v="2025-05-01T00:00:00"/>
    <s v="Text"/>
    <s v="Explore the latest text on Myntra! Trendy styles await."/>
    <n v="1430"/>
    <n v="376"/>
    <n v="33"/>
    <n v="21450"/>
    <n v="20509"/>
    <n v="251"/>
    <s v="#FashionDeals"/>
    <x v="2"/>
  </r>
  <r>
    <s v="P232"/>
    <s v="Twitter"/>
    <d v="2025-04-29T00:00:00"/>
    <s v="Story"/>
    <s v="Explore the latest story on Myntra! Trendy styles await."/>
    <n v="249"/>
    <n v="592"/>
    <n v="230"/>
    <n v="1494"/>
    <n v="1044"/>
    <n v="201"/>
    <s v="#MyntraFashion"/>
    <x v="3"/>
  </r>
  <r>
    <s v="P233"/>
    <s v="Facebook"/>
    <d v="2025-03-08T00:00:00"/>
    <s v="Image"/>
    <s v="Explore the latest image on Myntra! Trendy styles await."/>
    <n v="2382"/>
    <n v="265"/>
    <n v="134"/>
    <n v="38112"/>
    <n v="37437"/>
    <n v="249"/>
    <s v="#FashionDeals"/>
    <x v="1"/>
  </r>
  <r>
    <s v="P234"/>
    <s v="Facebook"/>
    <d v="2024-06-01T00:00:00"/>
    <s v="Text"/>
    <s v="Explore the latest text on Myntra! Trendy styles await."/>
    <n v="1272"/>
    <n v="465"/>
    <n v="99"/>
    <n v="24168"/>
    <n v="23719"/>
    <n v="42"/>
    <s v="#MyntraFashion"/>
    <x v="1"/>
  </r>
  <r>
    <s v="P235"/>
    <s v="Facebook"/>
    <d v="2024-12-22T00:00:00"/>
    <s v="Image"/>
    <s v="Explore the latest image on Myntra! Trendy styles await."/>
    <n v="3196"/>
    <n v="941"/>
    <n v="376"/>
    <n v="35156"/>
    <n v="34444"/>
    <n v="241"/>
    <s v="#StyleWithMyntra"/>
    <x v="3"/>
  </r>
  <r>
    <s v="P236"/>
    <s v="Facebook"/>
    <d v="2024-08-19T00:00:00"/>
    <s v="Text"/>
    <s v="Explore the latest text on Myntra! Trendy styles await."/>
    <n v="1257"/>
    <n v="19"/>
    <n v="351"/>
    <n v="12570"/>
    <n v="11660"/>
    <n v="194"/>
    <s v="#StyleWithMyntra"/>
    <x v="0"/>
  </r>
  <r>
    <s v="P237"/>
    <s v="Instagram"/>
    <d v="2024-10-22T00:00:00"/>
    <s v="Story"/>
    <s v="Explore the latest story on Myntra! Trendy styles await."/>
    <n v="3770"/>
    <n v="917"/>
    <n v="129"/>
    <n v="71630"/>
    <n v="71322"/>
    <n v="76"/>
    <s v="#MyntraSale"/>
    <x v="3"/>
  </r>
  <r>
    <s v="P238"/>
    <s v="Twitter"/>
    <d v="2024-07-16T00:00:00"/>
    <s v="Text"/>
    <s v="Explore the latest text on Myntra! Trendy styles await."/>
    <n v="4725"/>
    <n v="400"/>
    <n v="362"/>
    <n v="75600"/>
    <n v="74927"/>
    <n v="43"/>
    <s v="#MyntraTrend"/>
    <x v="0"/>
  </r>
  <r>
    <s v="P239"/>
    <s v="YouTube"/>
    <d v="2025-02-24T00:00:00"/>
    <s v="Text"/>
    <s v="Explore the latest text on Myntra! Trendy styles await."/>
    <n v="4188"/>
    <n v="942"/>
    <n v="118"/>
    <n v="20940"/>
    <n v="20471"/>
    <n v="102"/>
    <s v="#StyleWithMyntra"/>
    <x v="1"/>
  </r>
  <r>
    <s v="P240"/>
    <s v="Twitter"/>
    <d v="2024-08-26T00:00:00"/>
    <s v="Carousel"/>
    <s v="Explore the latest carousel on Myntra! Trendy styles await."/>
    <n v="929"/>
    <n v="192"/>
    <n v="322"/>
    <n v="16722"/>
    <n v="15996"/>
    <n v="145"/>
    <s v="#MyntraFashion"/>
    <x v="2"/>
  </r>
  <r>
    <s v="P241"/>
    <s v="Facebook"/>
    <d v="2025-01-18T00:00:00"/>
    <s v="Story"/>
    <s v="Explore the latest story on Myntra! Trendy styles await."/>
    <n v="4321"/>
    <n v="874"/>
    <n v="172"/>
    <n v="30247"/>
    <n v="29254"/>
    <n v="122"/>
    <s v="#MyntraSale"/>
    <x v="2"/>
  </r>
  <r>
    <s v="P242"/>
    <s v="Facebook"/>
    <d v="2024-07-07T00:00:00"/>
    <s v="Reel"/>
    <s v="Explore the latest reel on Myntra! Trendy styles await."/>
    <n v="4767"/>
    <n v="190"/>
    <n v="340"/>
    <n v="28602"/>
    <n v="28044"/>
    <n v="210"/>
    <s v="#FashionDeals"/>
    <x v="3"/>
  </r>
  <r>
    <s v="P243"/>
    <s v="Twitter"/>
    <d v="2025-03-06T00:00:00"/>
    <s v="Image"/>
    <s v="Explore the latest image on Myntra! Trendy styles await."/>
    <n v="3592"/>
    <n v="911"/>
    <n v="375"/>
    <n v="50288"/>
    <n v="49490"/>
    <n v="32"/>
    <s v="#StyleWithMyntra"/>
    <x v="1"/>
  </r>
  <r>
    <s v="P244"/>
    <s v="YouTube"/>
    <d v="2024-10-25T00:00:00"/>
    <s v="Video"/>
    <s v="Explore the latest video on Myntra! Trendy styles await."/>
    <n v="4661"/>
    <n v="935"/>
    <n v="433"/>
    <n v="23305"/>
    <n v="22583"/>
    <n v="63"/>
    <s v="#StyleWithMyntra"/>
    <x v="0"/>
  </r>
  <r>
    <s v="P245"/>
    <s v="Facebook"/>
    <d v="2025-01-12T00:00:00"/>
    <s v="Reel"/>
    <s v="Explore the latest reel on Myntra! Trendy styles await."/>
    <n v="4134"/>
    <n v="824"/>
    <n v="99"/>
    <n v="41340"/>
    <n v="41050"/>
    <n v="177"/>
    <s v="#MyntraFashion"/>
    <x v="1"/>
  </r>
  <r>
    <s v="P246"/>
    <s v="Facebook"/>
    <d v="2024-10-11T00:00:00"/>
    <s v="Image"/>
    <s v="Explore the latest image on Myntra! Trendy styles await."/>
    <n v="400"/>
    <n v="680"/>
    <n v="434"/>
    <n v="6400"/>
    <n v="5472"/>
    <n v="160"/>
    <s v="#MyntraSale"/>
    <x v="1"/>
  </r>
  <r>
    <s v="P247"/>
    <s v="Facebook"/>
    <d v="2024-08-27T00:00:00"/>
    <s v="Reel"/>
    <s v="Explore the latest reel on Myntra! Trendy styles await."/>
    <n v="3960"/>
    <n v="266"/>
    <n v="8"/>
    <n v="35640"/>
    <n v="34850"/>
    <n v="208"/>
    <s v="#MyntraTrend"/>
    <x v="3"/>
  </r>
  <r>
    <s v="P248"/>
    <s v="Facebook"/>
    <d v="2025-02-02T00:00:00"/>
    <s v="Story"/>
    <s v="Explore the latest story on Myntra! Trendy styles await."/>
    <n v="886"/>
    <n v="126"/>
    <n v="153"/>
    <n v="4430"/>
    <n v="4037"/>
    <n v="212"/>
    <s v="#MyntraSale"/>
    <x v="2"/>
  </r>
  <r>
    <s v="P249"/>
    <s v="Twitter"/>
    <d v="2024-07-18T00:00:00"/>
    <s v="Image"/>
    <s v="Explore the latest image on Myntra! Trendy styles await."/>
    <n v="827"/>
    <n v="77"/>
    <n v="402"/>
    <n v="14886"/>
    <n v="14129"/>
    <n v="254"/>
    <s v="#StyleWithMyntra"/>
    <x v="1"/>
  </r>
  <r>
    <s v="P250"/>
    <s v="Facebook"/>
    <d v="2024-06-22T00:00:00"/>
    <s v="Reel"/>
    <s v="Explore the latest reel on Myntra! Trendy styles await."/>
    <n v="3813"/>
    <n v="935"/>
    <n v="274"/>
    <n v="68634"/>
    <n v="68488"/>
    <n v="251"/>
    <s v="#FashionDeals"/>
    <x v="0"/>
  </r>
  <r>
    <s v="P251"/>
    <s v="Instagram"/>
    <d v="2025-03-27T00:00:00"/>
    <s v="Carousel"/>
    <s v="Explore the latest carousel on Myntra! Trendy styles await."/>
    <n v="1377"/>
    <n v="796"/>
    <n v="387"/>
    <n v="22032"/>
    <n v="21869"/>
    <n v="189"/>
    <s v="#FashionDeals"/>
    <x v="2"/>
  </r>
  <r>
    <s v="P252"/>
    <s v="Facebook"/>
    <d v="2025-04-28T00:00:00"/>
    <s v="Carousel"/>
    <s v="Explore the latest carousel on Myntra! Trendy styles await."/>
    <n v="2089"/>
    <n v="476"/>
    <n v="69"/>
    <n v="16712"/>
    <n v="16309"/>
    <n v="64"/>
    <s v="#StyleWithMyntra"/>
    <x v="0"/>
  </r>
  <r>
    <s v="P253"/>
    <s v="Twitter"/>
    <d v="2024-08-03T00:00:00"/>
    <s v="Reel"/>
    <s v="Explore the latest reel on Myntra! Trendy styles await."/>
    <n v="3791"/>
    <n v="593"/>
    <n v="228"/>
    <n v="53074"/>
    <n v="52613"/>
    <n v="205"/>
    <s v="#StyleWithMyntra"/>
    <x v="0"/>
  </r>
  <r>
    <s v="P254"/>
    <s v="Twitter"/>
    <d v="2025-01-14T00:00:00"/>
    <s v="Image"/>
    <s v="Explore the latest image on Myntra! Trendy styles await."/>
    <n v="2692"/>
    <n v="115"/>
    <n v="64"/>
    <n v="21536"/>
    <n v="21120"/>
    <n v="224"/>
    <s v="#FashionDeals"/>
    <x v="3"/>
  </r>
  <r>
    <s v="P255"/>
    <s v="Facebook"/>
    <d v="2025-04-03T00:00:00"/>
    <s v="Story"/>
    <s v="Explore the latest story on Myntra! Trendy styles await."/>
    <n v="3767"/>
    <n v="514"/>
    <n v="238"/>
    <n v="37670"/>
    <n v="36807"/>
    <n v="226"/>
    <s v="#StyleWithMyntra"/>
    <x v="0"/>
  </r>
  <r>
    <s v="P256"/>
    <s v="YouTube"/>
    <d v="2024-09-18T00:00:00"/>
    <s v="Carousel"/>
    <s v="Explore the latest carousel on Myntra! Trendy styles await."/>
    <n v="2143"/>
    <n v="12"/>
    <n v="204"/>
    <n v="40717"/>
    <n v="40125"/>
    <n v="248"/>
    <s v="#FashionDeals"/>
    <x v="3"/>
  </r>
  <r>
    <s v="P257"/>
    <s v="Facebook"/>
    <d v="2025-04-06T00:00:00"/>
    <s v="Image"/>
    <s v="Explore the latest image on Myntra! Trendy styles await."/>
    <n v="3090"/>
    <n v="697"/>
    <n v="164"/>
    <n v="49440"/>
    <n v="48524"/>
    <n v="25"/>
    <s v="#FashionDeals"/>
    <x v="3"/>
  </r>
  <r>
    <s v="P258"/>
    <s v="Instagram"/>
    <d v="2024-08-05T00:00:00"/>
    <s v="Story"/>
    <s v="Explore the latest story on Myntra! Trendy styles await."/>
    <n v="3601"/>
    <n v="695"/>
    <n v="75"/>
    <n v="21606"/>
    <n v="21454"/>
    <n v="172"/>
    <s v="#StyleWithMyntra"/>
    <x v="1"/>
  </r>
  <r>
    <s v="P259"/>
    <s v="Facebook"/>
    <d v="2025-02-10T00:00:00"/>
    <s v="Text"/>
    <s v="Explore the latest text on Myntra! Trendy styles await."/>
    <n v="562"/>
    <n v="158"/>
    <n v="149"/>
    <n v="3372"/>
    <n v="2940"/>
    <n v="93"/>
    <s v="#FashionDeals"/>
    <x v="3"/>
  </r>
  <r>
    <s v="P260"/>
    <s v="Instagram"/>
    <d v="2025-02-12T00:00:00"/>
    <s v="Story"/>
    <s v="Explore the latest story on Myntra! Trendy styles await."/>
    <n v="4332"/>
    <n v="771"/>
    <n v="219"/>
    <n v="60648"/>
    <n v="60397"/>
    <n v="10"/>
    <s v="#MyntraFashion"/>
    <x v="2"/>
  </r>
  <r>
    <s v="P261"/>
    <s v="Instagram"/>
    <d v="2024-10-27T00:00:00"/>
    <s v="Image"/>
    <s v="Explore the latest image on Myntra! Trendy styles await."/>
    <n v="4853"/>
    <n v="837"/>
    <n v="340"/>
    <n v="72795"/>
    <n v="72237"/>
    <n v="170"/>
    <s v="#MyntraSale"/>
    <x v="1"/>
  </r>
  <r>
    <s v="P262"/>
    <s v="YouTube"/>
    <d v="2025-01-18T00:00:00"/>
    <s v="Image"/>
    <s v="Explore the latest image on Myntra! Trendy styles await."/>
    <n v="1206"/>
    <n v="238"/>
    <n v="36"/>
    <n v="9648"/>
    <n v="9417"/>
    <n v="237"/>
    <s v="#MyntraSale"/>
    <x v="2"/>
  </r>
  <r>
    <s v="P263"/>
    <s v="Instagram"/>
    <d v="2024-08-20T00:00:00"/>
    <s v="Reel"/>
    <s v="Explore the latest reel on Myntra! Trendy styles await."/>
    <n v="2603"/>
    <n v="690"/>
    <n v="205"/>
    <n v="13015"/>
    <n v="12130"/>
    <n v="20"/>
    <s v="#MyntraTrend"/>
    <x v="0"/>
  </r>
  <r>
    <s v="P264"/>
    <s v="Twitter"/>
    <d v="2025-01-30T00:00:00"/>
    <s v="Image"/>
    <s v="Explore the latest image on Myntra! Trendy styles await."/>
    <n v="59"/>
    <n v="163"/>
    <n v="93"/>
    <n v="590"/>
    <n v="475"/>
    <n v="293"/>
    <s v="#MyntraTrend"/>
    <x v="3"/>
  </r>
  <r>
    <s v="P265"/>
    <s v="Twitter"/>
    <d v="2025-02-20T00:00:00"/>
    <s v="Carousel"/>
    <s v="Explore the latest carousel on Myntra! Trendy styles await."/>
    <n v="1877"/>
    <n v="745"/>
    <n v="225"/>
    <n v="11262"/>
    <n v="10967"/>
    <n v="41"/>
    <s v="#StyleWithMyntra"/>
    <x v="0"/>
  </r>
  <r>
    <s v="P266"/>
    <s v="Facebook"/>
    <d v="2024-11-25T00:00:00"/>
    <s v="Story"/>
    <s v="Explore the latest story on Myntra! Trendy styles await."/>
    <n v="4182"/>
    <n v="640"/>
    <n v="240"/>
    <n v="50184"/>
    <n v="49351"/>
    <n v="10"/>
    <s v="#MyntraSale"/>
    <x v="2"/>
  </r>
  <r>
    <s v="P267"/>
    <s v="Twitter"/>
    <d v="2024-10-04T00:00:00"/>
    <s v="Reel"/>
    <s v="Explore the latest reel on Myntra! Trendy styles await."/>
    <n v="4187"/>
    <n v="66"/>
    <n v="31"/>
    <n v="66992"/>
    <n v="66614"/>
    <n v="62"/>
    <s v="#StyleWithMyntra"/>
    <x v="3"/>
  </r>
  <r>
    <s v="P268"/>
    <s v="Instagram"/>
    <d v="2025-04-13T00:00:00"/>
    <s v="Reel"/>
    <s v="Explore the latest reel on Myntra! Trendy styles await."/>
    <n v="4579"/>
    <n v="125"/>
    <n v="300"/>
    <n v="59527"/>
    <n v="59400"/>
    <n v="269"/>
    <s v="#StyleWithMyntra"/>
    <x v="0"/>
  </r>
  <r>
    <s v="P269"/>
    <s v="Instagram"/>
    <d v="2024-11-05T00:00:00"/>
    <s v="Video"/>
    <s v="Explore the latest video on Myntra! Trendy styles await."/>
    <n v="4561"/>
    <n v="51"/>
    <n v="441"/>
    <n v="22805"/>
    <n v="21890"/>
    <n v="45"/>
    <s v="#StyleWithMyntra"/>
    <x v="1"/>
  </r>
  <r>
    <s v="P270"/>
    <s v="YouTube"/>
    <d v="2025-01-15T00:00:00"/>
    <s v="Reel"/>
    <s v="Explore the latest reel on Myntra! Trendy styles await."/>
    <n v="3774"/>
    <n v="239"/>
    <n v="39"/>
    <n v="60384"/>
    <n v="59490"/>
    <n v="241"/>
    <s v="#FashionDeals"/>
    <x v="2"/>
  </r>
  <r>
    <s v="P271"/>
    <s v="Instagram"/>
    <d v="2024-10-17T00:00:00"/>
    <s v="Video"/>
    <s v="Explore the latest video on Myntra! Trendy styles await."/>
    <n v="3575"/>
    <n v="749"/>
    <n v="111"/>
    <n v="21450"/>
    <n v="20785"/>
    <n v="195"/>
    <s v="#FashionDeals"/>
    <x v="2"/>
  </r>
  <r>
    <s v="P272"/>
    <s v="Instagram"/>
    <d v="2025-03-27T00:00:00"/>
    <s v="Text"/>
    <s v="Explore the latest text on Myntra! Trendy styles await."/>
    <n v="4941"/>
    <n v="414"/>
    <n v="266"/>
    <n v="39528"/>
    <n v="39154"/>
    <n v="217"/>
    <s v="#MyntraSale"/>
    <x v="1"/>
  </r>
  <r>
    <s v="P273"/>
    <s v="YouTube"/>
    <d v="2024-10-12T00:00:00"/>
    <s v="Story"/>
    <s v="Explore the latest story on Myntra! Trendy styles await."/>
    <n v="3641"/>
    <n v="226"/>
    <n v="46"/>
    <n v="40051"/>
    <n v="39319"/>
    <n v="296"/>
    <s v="#MyntraTrend"/>
    <x v="1"/>
  </r>
  <r>
    <s v="P274"/>
    <s v="Twitter"/>
    <d v="2025-01-01T00:00:00"/>
    <s v="Carousel"/>
    <s v="Explore the latest carousel on Myntra! Trendy styles await."/>
    <n v="3535"/>
    <n v="494"/>
    <n v="152"/>
    <n v="53025"/>
    <n v="52791"/>
    <n v="44"/>
    <s v="#MyntraTrend"/>
    <x v="1"/>
  </r>
  <r>
    <s v="P275"/>
    <s v="Facebook"/>
    <d v="2024-08-05T00:00:00"/>
    <s v="Reel"/>
    <s v="Explore the latest reel on Myntra! Trendy styles await."/>
    <n v="1741"/>
    <n v="831"/>
    <n v="345"/>
    <n v="17410"/>
    <n v="16844"/>
    <n v="58"/>
    <s v="#MyntraFashion"/>
    <x v="3"/>
  </r>
  <r>
    <s v="P276"/>
    <s v="Twitter"/>
    <d v="2024-06-07T00:00:00"/>
    <s v="Carousel"/>
    <s v="Explore the latest carousel on Myntra! Trendy styles await."/>
    <n v="1556"/>
    <n v="195"/>
    <n v="131"/>
    <n v="9336"/>
    <n v="8875"/>
    <n v="137"/>
    <s v="#MyntraFashion"/>
    <x v="1"/>
  </r>
  <r>
    <s v="P277"/>
    <s v="Facebook"/>
    <d v="2025-04-06T00:00:00"/>
    <s v="Image"/>
    <s v="Explore the latest image on Myntra! Trendy styles await."/>
    <n v="4236"/>
    <n v="711"/>
    <n v="298"/>
    <n v="21180"/>
    <n v="20516"/>
    <n v="238"/>
    <s v="#MyntraTrend"/>
    <x v="3"/>
  </r>
  <r>
    <s v="P278"/>
    <s v="Twitter"/>
    <d v="2024-11-26T00:00:00"/>
    <s v="Text"/>
    <s v="Explore the latest text on Myntra! Trendy styles await."/>
    <n v="4516"/>
    <n v="836"/>
    <n v="169"/>
    <n v="49676"/>
    <n v="49257"/>
    <n v="282"/>
    <s v="#MyntraTrend"/>
    <x v="0"/>
  </r>
  <r>
    <s v="P279"/>
    <s v="YouTube"/>
    <d v="2024-09-02T00:00:00"/>
    <s v="Image"/>
    <s v="Explore the latest image on Myntra! Trendy styles await."/>
    <n v="4905"/>
    <n v="845"/>
    <n v="129"/>
    <n v="98100"/>
    <n v="97772"/>
    <n v="279"/>
    <s v="#MyntraTrend"/>
    <x v="3"/>
  </r>
  <r>
    <s v="P280"/>
    <s v="YouTube"/>
    <d v="2024-10-21T00:00:00"/>
    <s v="Video"/>
    <s v="Explore the latest video on Myntra! Trendy styles await."/>
    <n v="4275"/>
    <n v="680"/>
    <n v="385"/>
    <n v="64125"/>
    <n v="63650"/>
    <n v="104"/>
    <s v="#StyleWithMyntra"/>
    <x v="3"/>
  </r>
  <r>
    <s v="P281"/>
    <s v="YouTube"/>
    <d v="2025-03-22T00:00:00"/>
    <s v="Image"/>
    <s v="Explore the latest image on Myntra! Trendy styles await."/>
    <n v="3166"/>
    <n v="90"/>
    <n v="341"/>
    <n v="56988"/>
    <n v="56125"/>
    <n v="135"/>
    <s v="#MyntraFashion"/>
    <x v="1"/>
  </r>
  <r>
    <s v="P282"/>
    <s v="Instagram"/>
    <d v="2024-10-03T00:00:00"/>
    <s v="Video"/>
    <s v="Explore the latest video on Myntra! Trendy styles await."/>
    <n v="1488"/>
    <n v="417"/>
    <n v="168"/>
    <n v="19344"/>
    <n v="18395"/>
    <n v="30"/>
    <s v="#MyntraSale"/>
    <x v="0"/>
  </r>
  <r>
    <s v="P283"/>
    <s v="Twitter"/>
    <d v="2025-05-09T00:00:00"/>
    <s v="Reel"/>
    <s v="Explore the latest reel on Myntra! Trendy styles await."/>
    <n v="3367"/>
    <n v="302"/>
    <n v="57"/>
    <n v="63973"/>
    <n v="63789"/>
    <n v="157"/>
    <s v="#MyntraTrend"/>
    <x v="2"/>
  </r>
  <r>
    <s v="P284"/>
    <s v="Twitter"/>
    <d v="2024-09-17T00:00:00"/>
    <s v="Text"/>
    <s v="Explore the latest text on Myntra! Trendy styles await."/>
    <n v="571"/>
    <n v="190"/>
    <n v="352"/>
    <n v="9707"/>
    <n v="9418"/>
    <n v="231"/>
    <s v="#FashionDeals"/>
    <x v="1"/>
  </r>
  <r>
    <s v="P285"/>
    <s v="YouTube"/>
    <d v="2024-07-18T00:00:00"/>
    <s v="Text"/>
    <s v="Explore the latest text on Myntra! Trendy styles await."/>
    <n v="4021"/>
    <n v="794"/>
    <n v="77"/>
    <n v="36189"/>
    <n v="35505"/>
    <n v="174"/>
    <s v="#FashionDeals"/>
    <x v="0"/>
  </r>
  <r>
    <s v="P286"/>
    <s v="YouTube"/>
    <d v="2024-09-25T00:00:00"/>
    <s v="Video"/>
    <s v="Explore the latest video on Myntra! Trendy styles await."/>
    <n v="3389"/>
    <n v="344"/>
    <n v="229"/>
    <n v="20334"/>
    <n v="19443"/>
    <n v="228"/>
    <s v="#MyntraFashion"/>
    <x v="1"/>
  </r>
  <r>
    <s v="P287"/>
    <s v="Instagram"/>
    <d v="2024-08-15T00:00:00"/>
    <s v="Reel"/>
    <s v="Explore the latest reel on Myntra! Trendy styles await."/>
    <n v="1164"/>
    <n v="616"/>
    <n v="324"/>
    <n v="6984"/>
    <n v="6636"/>
    <n v="82"/>
    <s v="#MyntraFashion"/>
    <x v="2"/>
  </r>
  <r>
    <s v="P288"/>
    <s v="YouTube"/>
    <d v="2025-04-17T00:00:00"/>
    <s v="Carousel"/>
    <s v="Explore the latest carousel on Myntra! Trendy styles await."/>
    <n v="4780"/>
    <n v="691"/>
    <n v="380"/>
    <n v="86040"/>
    <n v="85743"/>
    <n v="262"/>
    <s v="#MyntraFashion"/>
    <x v="2"/>
  </r>
  <r>
    <s v="P289"/>
    <s v="Facebook"/>
    <d v="2024-11-28T00:00:00"/>
    <s v="Carousel"/>
    <s v="Explore the latest carousel on Myntra! Trendy styles await."/>
    <n v="2751"/>
    <n v="33"/>
    <n v="430"/>
    <n v="44016"/>
    <n v="43415"/>
    <n v="129"/>
    <s v="#MyntraTrend"/>
    <x v="1"/>
  </r>
  <r>
    <s v="P290"/>
    <s v="Instagram"/>
    <d v="2024-12-20T00:00:00"/>
    <s v="Carousel"/>
    <s v="Explore the latest carousel on Myntra! Trendy styles await."/>
    <n v="2107"/>
    <n v="550"/>
    <n v="349"/>
    <n v="35819"/>
    <n v="35340"/>
    <n v="191"/>
    <s v="#MyntraTrend"/>
    <x v="2"/>
  </r>
  <r>
    <s v="P291"/>
    <s v="Facebook"/>
    <d v="2024-11-06T00:00:00"/>
    <s v="Video"/>
    <s v="Explore the latest video on Myntra! Trendy styles await."/>
    <n v="4663"/>
    <n v="145"/>
    <n v="225"/>
    <n v="69945"/>
    <n v="69596"/>
    <n v="35"/>
    <s v="#MyntraFashion"/>
    <x v="1"/>
  </r>
  <r>
    <s v="P292"/>
    <s v="Facebook"/>
    <d v="2024-11-17T00:00:00"/>
    <s v="Text"/>
    <s v="Explore the latest text on Myntra! Trendy styles await."/>
    <n v="880"/>
    <n v="297"/>
    <n v="345"/>
    <n v="12320"/>
    <n v="11978"/>
    <n v="238"/>
    <s v="#MyntraSale"/>
    <x v="1"/>
  </r>
  <r>
    <s v="P293"/>
    <s v="Facebook"/>
    <d v="2025-05-14T00:00:00"/>
    <s v="Text"/>
    <s v="Explore the latest text on Myntra! Trendy styles await."/>
    <n v="2634"/>
    <n v="726"/>
    <n v="241"/>
    <n v="28974"/>
    <n v="28102"/>
    <n v="277"/>
    <s v="#StyleWithMyntra"/>
    <x v="2"/>
  </r>
  <r>
    <s v="P294"/>
    <s v="Facebook"/>
    <d v="2024-06-19T00:00:00"/>
    <s v="Carousel"/>
    <s v="Explore the latest carousel on Myntra! Trendy styles await."/>
    <n v="4731"/>
    <n v="173"/>
    <n v="276"/>
    <n v="28386"/>
    <n v="28185"/>
    <n v="89"/>
    <s v="#MyntraTrend"/>
    <x v="3"/>
  </r>
  <r>
    <s v="P295"/>
    <s v="Twitter"/>
    <d v="2025-05-06T00:00:00"/>
    <s v="Image"/>
    <s v="Explore the latest image on Myntra! Trendy styles await."/>
    <n v="1952"/>
    <n v="344"/>
    <n v="287"/>
    <n v="15616"/>
    <n v="15403"/>
    <n v="235"/>
    <s v="#MyntraSale"/>
    <x v="2"/>
  </r>
  <r>
    <s v="P296"/>
    <s v="Twitter"/>
    <d v="2025-02-11T00:00:00"/>
    <s v="Video"/>
    <s v="Explore the latest video on Myntra! Trendy styles await."/>
    <n v="3440"/>
    <n v="13"/>
    <n v="20"/>
    <n v="58480"/>
    <n v="58146"/>
    <n v="210"/>
    <s v="#MyntraFashion"/>
    <x v="0"/>
  </r>
  <r>
    <s v="P297"/>
    <s v="Twitter"/>
    <d v="2024-12-24T00:00:00"/>
    <s v="Text"/>
    <s v="Explore the latest text on Myntra! Trendy styles await."/>
    <n v="2166"/>
    <n v="354"/>
    <n v="117"/>
    <n v="10830"/>
    <n v="10245"/>
    <n v="24"/>
    <s v="#StyleWithMyntra"/>
    <x v="0"/>
  </r>
  <r>
    <s v="P298"/>
    <s v="Facebook"/>
    <d v="2024-10-24T00:00:00"/>
    <s v="Image"/>
    <s v="Explore the latest image on Myntra! Trendy styles await."/>
    <n v="4303"/>
    <n v="451"/>
    <n v="286"/>
    <n v="86060"/>
    <n v="85823"/>
    <n v="14"/>
    <s v="#MyntraSale"/>
    <x v="1"/>
  </r>
  <r>
    <s v="P299"/>
    <s v="Facebook"/>
    <d v="2024-08-26T00:00:00"/>
    <s v="Image"/>
    <s v="Explore the latest image on Myntra! Trendy styles await."/>
    <n v="2581"/>
    <n v="517"/>
    <n v="117"/>
    <n v="23229"/>
    <n v="22331"/>
    <n v="70"/>
    <s v="#MyntraSale"/>
    <x v="1"/>
  </r>
  <r>
    <s v="P300"/>
    <s v="Twitter"/>
    <d v="2024-08-31T00:00:00"/>
    <s v="Carousel"/>
    <s v="Explore the latest carousel on Myntra! Trendy styles await."/>
    <n v="4494"/>
    <n v="717"/>
    <n v="45"/>
    <n v="62916"/>
    <n v="62688"/>
    <n v="191"/>
    <s v="#MyntraFashion"/>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x v="0"/>
    <n v="1135"/>
    <n v="88"/>
    <n v="344084"/>
    <n v="8.06"/>
    <n v="5904"/>
    <x v="0"/>
  </r>
  <r>
    <d v="2024-06-03T00:00:00"/>
    <x v="1"/>
    <n v="1312"/>
    <n v="310"/>
    <n v="42654"/>
    <n v="4.9800000000000004"/>
    <n v="9566"/>
    <x v="0"/>
  </r>
  <r>
    <d v="2024-06-03T00:00:00"/>
    <x v="2"/>
    <n v="584"/>
    <n v="169"/>
    <n v="146834"/>
    <n v="8.31"/>
    <n v="26752"/>
    <x v="0"/>
  </r>
  <r>
    <d v="2024-06-03T00:00:00"/>
    <x v="3"/>
    <n v="1535"/>
    <n v="445"/>
    <n v="395536"/>
    <n v="4.1100000000000003"/>
    <n v="30671"/>
    <x v="0"/>
  </r>
  <r>
    <d v="2024-06-10T00:00:00"/>
    <x v="0"/>
    <n v="656"/>
    <n v="139"/>
    <n v="49157"/>
    <n v="9.0500000000000007"/>
    <n v="9920"/>
    <x v="1"/>
  </r>
  <r>
    <d v="2024-06-10T00:00:00"/>
    <x v="1"/>
    <n v="1697"/>
    <n v="414"/>
    <n v="316555"/>
    <n v="2.37"/>
    <n v="7924"/>
    <x v="1"/>
  </r>
  <r>
    <d v="2024-06-10T00:00:00"/>
    <x v="2"/>
    <n v="436"/>
    <n v="250"/>
    <n v="254347"/>
    <n v="4.01"/>
    <n v="8912"/>
    <x v="1"/>
  </r>
  <r>
    <d v="2024-06-10T00:00:00"/>
    <x v="3"/>
    <n v="1197"/>
    <n v="203"/>
    <n v="413878"/>
    <n v="3.16"/>
    <n v="21205"/>
    <x v="1"/>
  </r>
  <r>
    <d v="2024-06-17T00:00:00"/>
    <x v="0"/>
    <n v="1048"/>
    <n v="155"/>
    <n v="456946"/>
    <n v="2.46"/>
    <n v="11329"/>
    <x v="1"/>
  </r>
  <r>
    <d v="2024-06-17T00:00:00"/>
    <x v="1"/>
    <n v="1753"/>
    <n v="371"/>
    <n v="169496"/>
    <n v="8.11"/>
    <n v="46670"/>
    <x v="1"/>
  </r>
  <r>
    <d v="2024-06-17T00:00:00"/>
    <x v="2"/>
    <n v="1335"/>
    <n v="40"/>
    <n v="122732"/>
    <n v="8.19"/>
    <n v="22482"/>
    <x v="1"/>
  </r>
  <r>
    <d v="2024-06-17T00:00:00"/>
    <x v="3"/>
    <n v="403"/>
    <n v="66"/>
    <n v="382851"/>
    <n v="3.49"/>
    <n v="24313"/>
    <x v="1"/>
  </r>
  <r>
    <d v="2024-06-24T00:00:00"/>
    <x v="0"/>
    <n v="911"/>
    <n v="282"/>
    <n v="35664"/>
    <n v="6.92"/>
    <n v="18050"/>
    <x v="1"/>
  </r>
  <r>
    <d v="2024-06-24T00:00:00"/>
    <x v="1"/>
    <n v="1779"/>
    <n v="109"/>
    <n v="26295"/>
    <n v="9.1199999999999992"/>
    <n v="30635"/>
    <x v="1"/>
  </r>
  <r>
    <d v="2024-06-24T00:00:00"/>
    <x v="2"/>
    <n v="1238"/>
    <n v="403"/>
    <n v="298421"/>
    <n v="3.5"/>
    <n v="31280"/>
    <x v="1"/>
  </r>
  <r>
    <d v="2024-06-24T00:00:00"/>
    <x v="3"/>
    <n v="308"/>
    <n v="431"/>
    <n v="426184"/>
    <n v="2.62"/>
    <n v="1783"/>
    <x v="1"/>
  </r>
  <r>
    <d v="2024-07-01T00:00:00"/>
    <x v="0"/>
    <n v="226"/>
    <n v="445"/>
    <n v="419447"/>
    <n v="9.36"/>
    <n v="9566"/>
    <x v="1"/>
  </r>
  <r>
    <d v="2024-07-01T00:00:00"/>
    <x v="1"/>
    <n v="505"/>
    <n v="441"/>
    <n v="220020"/>
    <n v="4.4800000000000004"/>
    <n v="42307"/>
    <x v="1"/>
  </r>
  <r>
    <d v="2024-07-01T00:00:00"/>
    <x v="2"/>
    <n v="1420"/>
    <n v="63"/>
    <n v="315305"/>
    <n v="6.19"/>
    <n v="5914"/>
    <x v="1"/>
  </r>
  <r>
    <d v="2024-07-01T00:00:00"/>
    <x v="3"/>
    <n v="144"/>
    <n v="53"/>
    <n v="113678"/>
    <n v="8.7200000000000006"/>
    <n v="30060"/>
    <x v="1"/>
  </r>
  <r>
    <d v="2024-07-08T00:00:00"/>
    <x v="0"/>
    <n v="1757"/>
    <n v="85"/>
    <n v="58223"/>
    <n v="8.74"/>
    <n v="22728"/>
    <x v="0"/>
  </r>
  <r>
    <d v="2024-07-08T00:00:00"/>
    <x v="1"/>
    <n v="350"/>
    <n v="41"/>
    <n v="251694"/>
    <n v="1.91"/>
    <n v="38610"/>
    <x v="0"/>
  </r>
  <r>
    <d v="2024-07-08T00:00:00"/>
    <x v="2"/>
    <n v="987"/>
    <n v="440"/>
    <n v="389810"/>
    <n v="4.66"/>
    <n v="2932"/>
    <x v="0"/>
  </r>
  <r>
    <d v="2024-07-08T00:00:00"/>
    <x v="3"/>
    <n v="883"/>
    <n v="369"/>
    <n v="233694"/>
    <n v="2.88"/>
    <n v="15071"/>
    <x v="0"/>
  </r>
  <r>
    <d v="2024-07-15T00:00:00"/>
    <x v="0"/>
    <n v="1960"/>
    <n v="115"/>
    <n v="154169"/>
    <n v="3.74"/>
    <n v="10740"/>
    <x v="0"/>
  </r>
  <r>
    <d v="2024-07-15T00:00:00"/>
    <x v="1"/>
    <n v="170"/>
    <n v="334"/>
    <n v="334626"/>
    <n v="6.44"/>
    <n v="43420"/>
    <x v="0"/>
  </r>
  <r>
    <d v="2024-07-15T00:00:00"/>
    <x v="2"/>
    <n v="704"/>
    <n v="275"/>
    <n v="226002"/>
    <n v="8.56"/>
    <n v="32393"/>
    <x v="0"/>
  </r>
  <r>
    <d v="2024-07-15T00:00:00"/>
    <x v="3"/>
    <n v="224"/>
    <n v="64"/>
    <n v="156683"/>
    <n v="4.5599999999999996"/>
    <n v="28474"/>
    <x v="0"/>
  </r>
  <r>
    <d v="2024-07-22T00:00:00"/>
    <x v="0"/>
    <n v="508"/>
    <n v="349"/>
    <n v="473812"/>
    <n v="7.88"/>
    <n v="17328"/>
    <x v="0"/>
  </r>
  <r>
    <d v="2024-07-22T00:00:00"/>
    <x v="1"/>
    <n v="1391"/>
    <n v="430"/>
    <n v="295032"/>
    <n v="7.86"/>
    <n v="26067"/>
    <x v="0"/>
  </r>
  <r>
    <d v="2024-07-22T00:00:00"/>
    <x v="2"/>
    <n v="1701"/>
    <n v="385"/>
    <n v="198278"/>
    <n v="5.34"/>
    <n v="32763"/>
    <x v="0"/>
  </r>
  <r>
    <d v="2024-07-22T00:00:00"/>
    <x v="3"/>
    <n v="804"/>
    <n v="487"/>
    <n v="306564"/>
    <n v="5.52"/>
    <n v="26452"/>
    <x v="0"/>
  </r>
  <r>
    <d v="2024-07-29T00:00:00"/>
    <x v="0"/>
    <n v="653"/>
    <n v="112"/>
    <n v="23664"/>
    <n v="4.05"/>
    <n v="15353"/>
    <x v="0"/>
  </r>
  <r>
    <d v="2024-07-29T00:00:00"/>
    <x v="1"/>
    <n v="160"/>
    <n v="478"/>
    <n v="435034"/>
    <n v="7.73"/>
    <n v="4839"/>
    <x v="0"/>
  </r>
  <r>
    <d v="2024-07-29T00:00:00"/>
    <x v="2"/>
    <n v="1756"/>
    <n v="261"/>
    <n v="287574"/>
    <n v="4.3600000000000003"/>
    <n v="39272"/>
    <x v="0"/>
  </r>
  <r>
    <d v="2024-07-29T00:00:00"/>
    <x v="3"/>
    <n v="576"/>
    <n v="101"/>
    <n v="62499"/>
    <n v="3.48"/>
    <n v="16804"/>
    <x v="0"/>
  </r>
  <r>
    <d v="2024-08-05T00:00:00"/>
    <x v="0"/>
    <n v="645"/>
    <n v="293"/>
    <n v="437968"/>
    <n v="7.83"/>
    <n v="49303"/>
    <x v="2"/>
  </r>
  <r>
    <d v="2024-08-05T00:00:00"/>
    <x v="1"/>
    <n v="214"/>
    <n v="411"/>
    <n v="125034"/>
    <n v="6.11"/>
    <n v="26455"/>
    <x v="2"/>
  </r>
  <r>
    <d v="2024-08-05T00:00:00"/>
    <x v="2"/>
    <n v="826"/>
    <n v="498"/>
    <n v="449994"/>
    <n v="9.43"/>
    <n v="12384"/>
    <x v="2"/>
  </r>
  <r>
    <d v="2024-08-05T00:00:00"/>
    <x v="3"/>
    <n v="460"/>
    <n v="141"/>
    <n v="320650"/>
    <n v="4.04"/>
    <n v="49372"/>
    <x v="2"/>
  </r>
  <r>
    <d v="2024-08-12T00:00:00"/>
    <x v="0"/>
    <n v="1528"/>
    <n v="203"/>
    <n v="489188"/>
    <n v="6.23"/>
    <n v="47101"/>
    <x v="2"/>
  </r>
  <r>
    <d v="2024-08-12T00:00:00"/>
    <x v="1"/>
    <n v="1534"/>
    <n v="200"/>
    <n v="307612"/>
    <n v="6.01"/>
    <n v="37903"/>
    <x v="2"/>
  </r>
  <r>
    <d v="2024-08-12T00:00:00"/>
    <x v="2"/>
    <n v="485"/>
    <n v="448"/>
    <n v="434883"/>
    <n v="8.5500000000000007"/>
    <n v="33258"/>
    <x v="2"/>
  </r>
  <r>
    <d v="2024-08-12T00:00:00"/>
    <x v="3"/>
    <n v="1210"/>
    <n v="178"/>
    <n v="102042"/>
    <n v="5.42"/>
    <n v="6915"/>
    <x v="2"/>
  </r>
  <r>
    <d v="2024-08-19T00:00:00"/>
    <x v="0"/>
    <n v="215"/>
    <n v="139"/>
    <n v="325444"/>
    <n v="3.25"/>
    <n v="35501"/>
    <x v="2"/>
  </r>
  <r>
    <d v="2024-08-19T00:00:00"/>
    <x v="1"/>
    <n v="1078"/>
    <n v="20"/>
    <n v="183924"/>
    <n v="8.84"/>
    <n v="14203"/>
    <x v="2"/>
  </r>
  <r>
    <d v="2024-08-19T00:00:00"/>
    <x v="2"/>
    <n v="1751"/>
    <n v="86"/>
    <n v="188655"/>
    <n v="7.24"/>
    <n v="22206"/>
    <x v="2"/>
  </r>
  <r>
    <d v="2024-08-19T00:00:00"/>
    <x v="3"/>
    <n v="221"/>
    <n v="31"/>
    <n v="87443"/>
    <n v="6.19"/>
    <n v="10283"/>
    <x v="2"/>
  </r>
  <r>
    <d v="2024-08-26T00:00:00"/>
    <x v="0"/>
    <n v="1685"/>
    <n v="76"/>
    <n v="453799"/>
    <n v="5.71"/>
    <n v="24913"/>
    <x v="2"/>
  </r>
  <r>
    <d v="2024-08-26T00:00:00"/>
    <x v="1"/>
    <n v="248"/>
    <n v="211"/>
    <n v="379380"/>
    <n v="9.0399999999999991"/>
    <n v="26925"/>
    <x v="2"/>
  </r>
  <r>
    <d v="2024-08-26T00:00:00"/>
    <x v="2"/>
    <n v="1300"/>
    <n v="71"/>
    <n v="186454"/>
    <n v="3.91"/>
    <n v="9942"/>
    <x v="2"/>
  </r>
  <r>
    <d v="2024-08-26T00:00:00"/>
    <x v="3"/>
    <n v="422"/>
    <n v="394"/>
    <n v="239044"/>
    <n v="7.83"/>
    <n v="32929"/>
    <x v="2"/>
  </r>
  <r>
    <d v="2024-09-02T00:00:00"/>
    <x v="0"/>
    <n v="1429"/>
    <n v="182"/>
    <n v="101332"/>
    <n v="7.16"/>
    <n v="37829"/>
    <x v="0"/>
  </r>
  <r>
    <d v="2024-09-02T00:00:00"/>
    <x v="1"/>
    <n v="1520"/>
    <n v="475"/>
    <n v="496982"/>
    <n v="6.41"/>
    <n v="24384"/>
    <x v="0"/>
  </r>
  <r>
    <d v="2024-09-02T00:00:00"/>
    <x v="2"/>
    <n v="557"/>
    <n v="360"/>
    <n v="318779"/>
    <n v="8.02"/>
    <n v="25797"/>
    <x v="0"/>
  </r>
  <r>
    <d v="2024-09-02T00:00:00"/>
    <x v="3"/>
    <n v="728"/>
    <n v="395"/>
    <n v="370971"/>
    <n v="3.86"/>
    <n v="12646"/>
    <x v="0"/>
  </r>
  <r>
    <d v="2024-09-09T00:00:00"/>
    <x v="0"/>
    <n v="1592"/>
    <n v="20"/>
    <n v="378054"/>
    <n v="9.09"/>
    <n v="26663"/>
    <x v="0"/>
  </r>
  <r>
    <d v="2024-09-09T00:00:00"/>
    <x v="1"/>
    <n v="1842"/>
    <n v="414"/>
    <n v="307524"/>
    <n v="1.76"/>
    <n v="40478"/>
    <x v="0"/>
  </r>
  <r>
    <d v="2024-09-09T00:00:00"/>
    <x v="2"/>
    <n v="751"/>
    <n v="491"/>
    <n v="434047"/>
    <n v="9.24"/>
    <n v="15476"/>
    <x v="0"/>
  </r>
  <r>
    <d v="2024-09-09T00:00:00"/>
    <x v="3"/>
    <n v="1409"/>
    <n v="309"/>
    <n v="64583"/>
    <n v="8.99"/>
    <n v="10217"/>
    <x v="0"/>
  </r>
  <r>
    <d v="2024-09-16T00:00:00"/>
    <x v="0"/>
    <n v="778"/>
    <n v="401"/>
    <n v="50793"/>
    <n v="3.4"/>
    <n v="21939"/>
    <x v="0"/>
  </r>
  <r>
    <d v="2024-09-16T00:00:00"/>
    <x v="1"/>
    <n v="443"/>
    <n v="345"/>
    <n v="474162"/>
    <n v="9.1999999999999993"/>
    <n v="47462"/>
    <x v="0"/>
  </r>
  <r>
    <d v="2024-09-16T00:00:00"/>
    <x v="2"/>
    <n v="1472"/>
    <n v="347"/>
    <n v="392355"/>
    <n v="8.59"/>
    <n v="30270"/>
    <x v="0"/>
  </r>
  <r>
    <d v="2024-09-16T00:00:00"/>
    <x v="3"/>
    <n v="123"/>
    <n v="155"/>
    <n v="119934"/>
    <n v="3.5"/>
    <n v="5442"/>
    <x v="0"/>
  </r>
  <r>
    <d v="2024-09-23T00:00:00"/>
    <x v="0"/>
    <n v="817"/>
    <n v="151"/>
    <n v="422625"/>
    <n v="2.36"/>
    <n v="1083"/>
    <x v="0"/>
  </r>
  <r>
    <d v="2024-09-23T00:00:00"/>
    <x v="1"/>
    <n v="198"/>
    <n v="217"/>
    <n v="239753"/>
    <n v="7.36"/>
    <n v="11901"/>
    <x v="0"/>
  </r>
  <r>
    <d v="2024-09-23T00:00:00"/>
    <x v="2"/>
    <n v="1911"/>
    <n v="231"/>
    <n v="268516"/>
    <n v="8.5500000000000007"/>
    <n v="24018"/>
    <x v="0"/>
  </r>
  <r>
    <d v="2024-09-23T00:00:00"/>
    <x v="3"/>
    <n v="1218"/>
    <n v="212"/>
    <n v="63177"/>
    <n v="8.1300000000000008"/>
    <n v="38883"/>
    <x v="0"/>
  </r>
  <r>
    <d v="2024-09-30T00:00:00"/>
    <x v="0"/>
    <n v="1433"/>
    <n v="408"/>
    <n v="370269"/>
    <n v="3.3"/>
    <n v="30575"/>
    <x v="0"/>
  </r>
  <r>
    <d v="2024-09-30T00:00:00"/>
    <x v="1"/>
    <n v="250"/>
    <n v="429"/>
    <n v="453423"/>
    <n v="1.77"/>
    <n v="2315"/>
    <x v="0"/>
  </r>
  <r>
    <d v="2024-09-30T00:00:00"/>
    <x v="2"/>
    <n v="752"/>
    <n v="153"/>
    <n v="64906"/>
    <n v="2.09"/>
    <n v="12148"/>
    <x v="0"/>
  </r>
  <r>
    <d v="2024-09-30T00:00:00"/>
    <x v="3"/>
    <n v="1918"/>
    <n v="212"/>
    <n v="94360"/>
    <n v="7.36"/>
    <n v="36851"/>
    <x v="0"/>
  </r>
  <r>
    <d v="2024-10-07T00:00:00"/>
    <x v="0"/>
    <n v="1939"/>
    <n v="67"/>
    <n v="187183"/>
    <n v="6.25"/>
    <n v="41215"/>
    <x v="3"/>
  </r>
  <r>
    <d v="2024-10-07T00:00:00"/>
    <x v="1"/>
    <n v="1929"/>
    <n v="267"/>
    <n v="379363"/>
    <n v="1.75"/>
    <n v="43836"/>
    <x v="3"/>
  </r>
  <r>
    <d v="2024-10-07T00:00:00"/>
    <x v="2"/>
    <n v="437"/>
    <n v="330"/>
    <n v="476486"/>
    <n v="4.97"/>
    <n v="4509"/>
    <x v="3"/>
  </r>
  <r>
    <d v="2024-10-07T00:00:00"/>
    <x v="3"/>
    <n v="307"/>
    <n v="189"/>
    <n v="117767"/>
    <n v="9.3000000000000007"/>
    <n v="27822"/>
    <x v="3"/>
  </r>
  <r>
    <d v="2024-10-14T00:00:00"/>
    <x v="0"/>
    <n v="1527"/>
    <n v="303"/>
    <n v="388555"/>
    <n v="8.9"/>
    <n v="36397"/>
    <x v="3"/>
  </r>
  <r>
    <d v="2024-10-14T00:00:00"/>
    <x v="1"/>
    <n v="643"/>
    <n v="358"/>
    <n v="157599"/>
    <n v="3.88"/>
    <n v="7285"/>
    <x v="3"/>
  </r>
  <r>
    <d v="2024-10-14T00:00:00"/>
    <x v="2"/>
    <n v="201"/>
    <n v="221"/>
    <n v="309772"/>
    <n v="5.9"/>
    <n v="33174"/>
    <x v="3"/>
  </r>
  <r>
    <d v="2024-10-14T00:00:00"/>
    <x v="3"/>
    <n v="414"/>
    <n v="47"/>
    <n v="199178"/>
    <n v="1.53"/>
    <n v="6742"/>
    <x v="3"/>
  </r>
  <r>
    <d v="2024-10-21T00:00:00"/>
    <x v="0"/>
    <n v="703"/>
    <n v="441"/>
    <n v="357089"/>
    <n v="6.5"/>
    <n v="32478"/>
    <x v="3"/>
  </r>
  <r>
    <d v="2024-10-21T00:00:00"/>
    <x v="1"/>
    <n v="508"/>
    <n v="69"/>
    <n v="23492"/>
    <n v="3.16"/>
    <n v="42824"/>
    <x v="3"/>
  </r>
  <r>
    <d v="2024-10-21T00:00:00"/>
    <x v="2"/>
    <n v="697"/>
    <n v="61"/>
    <n v="258287"/>
    <n v="8.25"/>
    <n v="21208"/>
    <x v="3"/>
  </r>
  <r>
    <d v="2024-10-21T00:00:00"/>
    <x v="3"/>
    <n v="1707"/>
    <n v="223"/>
    <n v="256910"/>
    <n v="5.41"/>
    <n v="44321"/>
    <x v="3"/>
  </r>
  <r>
    <d v="2024-10-28T00:00:00"/>
    <x v="0"/>
    <n v="642"/>
    <n v="66"/>
    <n v="346522"/>
    <n v="5.85"/>
    <n v="13116"/>
    <x v="3"/>
  </r>
  <r>
    <d v="2024-10-28T00:00:00"/>
    <x v="1"/>
    <n v="859"/>
    <n v="473"/>
    <n v="209987"/>
    <n v="4.46"/>
    <n v="30214"/>
    <x v="3"/>
  </r>
  <r>
    <d v="2024-10-28T00:00:00"/>
    <x v="2"/>
    <n v="191"/>
    <n v="154"/>
    <n v="240550"/>
    <n v="5.22"/>
    <n v="15827"/>
    <x v="3"/>
  </r>
  <r>
    <d v="2024-10-28T00:00:00"/>
    <x v="3"/>
    <n v="1814"/>
    <n v="157"/>
    <n v="305827"/>
    <n v="1.99"/>
    <n v="46643"/>
    <x v="3"/>
  </r>
  <r>
    <d v="2024-11-04T00:00:00"/>
    <x v="0"/>
    <n v="1466"/>
    <n v="69"/>
    <n v="54935"/>
    <n v="6.85"/>
    <n v="36484"/>
    <x v="3"/>
  </r>
  <r>
    <d v="2024-11-04T00:00:00"/>
    <x v="1"/>
    <n v="947"/>
    <n v="407"/>
    <n v="319186"/>
    <n v="3.32"/>
    <n v="4996"/>
    <x v="3"/>
  </r>
  <r>
    <d v="2024-11-04T00:00:00"/>
    <x v="2"/>
    <n v="1821"/>
    <n v="218"/>
    <n v="439080"/>
    <n v="5.68"/>
    <n v="36095"/>
    <x v="3"/>
  </r>
  <r>
    <d v="2024-11-04T00:00:00"/>
    <x v="3"/>
    <n v="1507"/>
    <n v="463"/>
    <n v="258944"/>
    <n v="6.08"/>
    <n v="16443"/>
    <x v="3"/>
  </r>
  <r>
    <d v="2024-11-11T00:00:00"/>
    <x v="0"/>
    <n v="1075"/>
    <n v="173"/>
    <n v="51395"/>
    <n v="4.66"/>
    <n v="47812"/>
    <x v="0"/>
  </r>
  <r>
    <d v="2024-11-11T00:00:00"/>
    <x v="1"/>
    <n v="171"/>
    <n v="277"/>
    <n v="309483"/>
    <n v="8.6999999999999993"/>
    <n v="38452"/>
    <x v="0"/>
  </r>
  <r>
    <d v="2024-11-11T00:00:00"/>
    <x v="2"/>
    <n v="1487"/>
    <n v="337"/>
    <n v="87305"/>
    <n v="2.46"/>
    <n v="30428"/>
    <x v="0"/>
  </r>
  <r>
    <d v="2024-11-11T00:00:00"/>
    <x v="3"/>
    <n v="454"/>
    <n v="105"/>
    <n v="121091"/>
    <n v="7.97"/>
    <n v="9269"/>
    <x v="0"/>
  </r>
  <r>
    <d v="2024-11-18T00:00:00"/>
    <x v="0"/>
    <n v="187"/>
    <n v="236"/>
    <n v="51087"/>
    <n v="9.41"/>
    <n v="29533"/>
    <x v="0"/>
  </r>
  <r>
    <d v="2024-11-18T00:00:00"/>
    <x v="1"/>
    <n v="513"/>
    <n v="441"/>
    <n v="338847"/>
    <n v="2.68"/>
    <n v="39997"/>
    <x v="0"/>
  </r>
  <r>
    <d v="2024-11-18T00:00:00"/>
    <x v="2"/>
    <n v="628"/>
    <n v="183"/>
    <n v="487523"/>
    <n v="7.32"/>
    <n v="5391"/>
    <x v="0"/>
  </r>
  <r>
    <d v="2024-11-18T00:00:00"/>
    <x v="3"/>
    <n v="278"/>
    <n v="218"/>
    <n v="301695"/>
    <n v="4.68"/>
    <n v="22373"/>
    <x v="0"/>
  </r>
  <r>
    <d v="2024-11-25T00:00:00"/>
    <x v="0"/>
    <n v="1854"/>
    <n v="161"/>
    <n v="282466"/>
    <n v="5.17"/>
    <n v="1810"/>
    <x v="0"/>
  </r>
  <r>
    <d v="2024-11-25T00:00:00"/>
    <x v="1"/>
    <n v="1710"/>
    <n v="378"/>
    <n v="336661"/>
    <n v="6.2"/>
    <n v="28498"/>
    <x v="0"/>
  </r>
  <r>
    <d v="2024-11-25T00:00:00"/>
    <x v="2"/>
    <n v="330"/>
    <n v="232"/>
    <n v="88455"/>
    <n v="2.69"/>
    <n v="39530"/>
    <x v="0"/>
  </r>
  <r>
    <d v="2024-11-25T00:00:00"/>
    <x v="3"/>
    <n v="1293"/>
    <n v="408"/>
    <n v="62535"/>
    <n v="8.9"/>
    <n v="37876"/>
    <x v="0"/>
  </r>
  <r>
    <d v="2024-12-02T00:00:00"/>
    <x v="0"/>
    <n v="1696"/>
    <n v="71"/>
    <n v="421957"/>
    <n v="3.79"/>
    <n v="36103"/>
    <x v="0"/>
  </r>
  <r>
    <d v="2024-12-02T00:00:00"/>
    <x v="1"/>
    <n v="1902"/>
    <n v="196"/>
    <n v="470269"/>
    <n v="4.79"/>
    <n v="26103"/>
    <x v="0"/>
  </r>
  <r>
    <d v="2024-12-02T00:00:00"/>
    <x v="2"/>
    <n v="1441"/>
    <n v="268"/>
    <n v="309904"/>
    <n v="6.37"/>
    <n v="3455"/>
    <x v="0"/>
  </r>
  <r>
    <d v="2024-12-02T00:00:00"/>
    <x v="3"/>
    <n v="452"/>
    <n v="161"/>
    <n v="221274"/>
    <n v="2.65"/>
    <n v="40888"/>
    <x v="0"/>
  </r>
  <r>
    <d v="2024-12-09T00:00:00"/>
    <x v="0"/>
    <n v="1494"/>
    <n v="375"/>
    <n v="220616"/>
    <n v="1.81"/>
    <n v="22724"/>
    <x v="0"/>
  </r>
  <r>
    <d v="2024-12-09T00:00:00"/>
    <x v="1"/>
    <n v="1514"/>
    <n v="141"/>
    <n v="35842"/>
    <n v="7.47"/>
    <n v="18601"/>
    <x v="0"/>
  </r>
  <r>
    <d v="2024-12-09T00:00:00"/>
    <x v="2"/>
    <n v="1937"/>
    <n v="210"/>
    <n v="20607"/>
    <n v="4.2"/>
    <n v="20861"/>
    <x v="0"/>
  </r>
  <r>
    <d v="2024-12-09T00:00:00"/>
    <x v="3"/>
    <n v="736"/>
    <n v="163"/>
    <n v="451894"/>
    <n v="5.43"/>
    <n v="46625"/>
    <x v="0"/>
  </r>
  <r>
    <d v="2024-12-16T00:00:00"/>
    <x v="0"/>
    <n v="1502"/>
    <n v="70"/>
    <n v="465553"/>
    <n v="3.32"/>
    <n v="20692"/>
    <x v="0"/>
  </r>
  <r>
    <d v="2024-12-16T00:00:00"/>
    <x v="1"/>
    <n v="1623"/>
    <n v="246"/>
    <n v="415815"/>
    <n v="8.11"/>
    <n v="18656"/>
    <x v="0"/>
  </r>
  <r>
    <d v="2024-12-16T00:00:00"/>
    <x v="2"/>
    <n v="1592"/>
    <n v="233"/>
    <n v="327183"/>
    <n v="6.66"/>
    <n v="13316"/>
    <x v="0"/>
  </r>
  <r>
    <d v="2024-12-16T00:00:00"/>
    <x v="3"/>
    <n v="1004"/>
    <n v="128"/>
    <n v="488901"/>
    <n v="8.09"/>
    <n v="49558"/>
    <x v="0"/>
  </r>
  <r>
    <d v="2024-12-23T00:00:00"/>
    <x v="0"/>
    <n v="1092"/>
    <n v="408"/>
    <n v="280795"/>
    <n v="8.44"/>
    <n v="4683"/>
    <x v="0"/>
  </r>
  <r>
    <d v="2024-12-23T00:00:00"/>
    <x v="1"/>
    <n v="1155"/>
    <n v="425"/>
    <n v="93347"/>
    <n v="2.02"/>
    <n v="47502"/>
    <x v="0"/>
  </r>
  <r>
    <d v="2024-12-23T00:00:00"/>
    <x v="2"/>
    <n v="1137"/>
    <n v="226"/>
    <n v="81119"/>
    <n v="7.74"/>
    <n v="35359"/>
    <x v="0"/>
  </r>
  <r>
    <d v="2024-12-23T00:00:00"/>
    <x v="3"/>
    <n v="1900"/>
    <n v="311"/>
    <n v="25177"/>
    <n v="2.89"/>
    <n v="14154"/>
    <x v="0"/>
  </r>
  <r>
    <d v="2024-12-30T00:00:00"/>
    <x v="0"/>
    <n v="1814"/>
    <n v="49"/>
    <n v="140804"/>
    <n v="1.76"/>
    <n v="4313"/>
    <x v="0"/>
  </r>
  <r>
    <d v="2024-12-30T00:00:00"/>
    <x v="1"/>
    <n v="1980"/>
    <n v="204"/>
    <n v="379431"/>
    <n v="3.09"/>
    <n v="25140"/>
    <x v="0"/>
  </r>
  <r>
    <d v="2024-12-30T00:00:00"/>
    <x v="2"/>
    <n v="1786"/>
    <n v="257"/>
    <n v="274831"/>
    <n v="4.68"/>
    <n v="9118"/>
    <x v="0"/>
  </r>
  <r>
    <d v="2024-12-30T00:00:00"/>
    <x v="3"/>
    <n v="1495"/>
    <n v="35"/>
    <n v="136845"/>
    <n v="4.4800000000000004"/>
    <n v="39931"/>
    <x v="0"/>
  </r>
  <r>
    <d v="2025-01-06T00:00:00"/>
    <x v="0"/>
    <n v="1013"/>
    <n v="110"/>
    <n v="466382"/>
    <n v="5.3"/>
    <n v="37132"/>
    <x v="0"/>
  </r>
  <r>
    <d v="2025-01-06T00:00:00"/>
    <x v="1"/>
    <n v="816"/>
    <n v="196"/>
    <n v="95728"/>
    <n v="8.1999999999999993"/>
    <n v="17951"/>
    <x v="0"/>
  </r>
  <r>
    <d v="2025-01-06T00:00:00"/>
    <x v="2"/>
    <n v="1633"/>
    <n v="445"/>
    <n v="371156"/>
    <n v="2.2200000000000002"/>
    <n v="2798"/>
    <x v="0"/>
  </r>
  <r>
    <d v="2025-01-06T00:00:00"/>
    <x v="3"/>
    <n v="891"/>
    <n v="45"/>
    <n v="95410"/>
    <n v="8.33"/>
    <n v="15045"/>
    <x v="0"/>
  </r>
  <r>
    <d v="2025-01-13T00:00:00"/>
    <x v="0"/>
    <n v="1855"/>
    <n v="133"/>
    <n v="349413"/>
    <n v="3.3"/>
    <n v="14548"/>
    <x v="4"/>
  </r>
  <r>
    <d v="2025-01-13T00:00:00"/>
    <x v="1"/>
    <n v="651"/>
    <n v="353"/>
    <n v="224699"/>
    <n v="5.61"/>
    <n v="45708"/>
    <x v="4"/>
  </r>
  <r>
    <d v="2025-01-13T00:00:00"/>
    <x v="2"/>
    <n v="118"/>
    <n v="262"/>
    <n v="487896"/>
    <n v="2.56"/>
    <n v="12350"/>
    <x v="4"/>
  </r>
  <r>
    <d v="2025-01-13T00:00:00"/>
    <x v="3"/>
    <n v="1331"/>
    <n v="430"/>
    <n v="14437"/>
    <n v="3.29"/>
    <n v="40868"/>
    <x v="4"/>
  </r>
  <r>
    <d v="2025-01-20T00:00:00"/>
    <x v="0"/>
    <n v="1748"/>
    <n v="176"/>
    <n v="383681"/>
    <n v="9.24"/>
    <n v="43122"/>
    <x v="4"/>
  </r>
  <r>
    <d v="2025-01-20T00:00:00"/>
    <x v="1"/>
    <n v="663"/>
    <n v="236"/>
    <n v="479490"/>
    <n v="4.51"/>
    <n v="23853"/>
    <x v="4"/>
  </r>
  <r>
    <d v="2025-01-20T00:00:00"/>
    <x v="2"/>
    <n v="1040"/>
    <n v="149"/>
    <n v="124404"/>
    <n v="5.23"/>
    <n v="45380"/>
    <x v="4"/>
  </r>
  <r>
    <d v="2025-01-20T00:00:00"/>
    <x v="3"/>
    <n v="1166"/>
    <n v="442"/>
    <n v="336949"/>
    <n v="4.68"/>
    <n v="7705"/>
    <x v="4"/>
  </r>
  <r>
    <d v="2025-01-27T00:00:00"/>
    <x v="0"/>
    <n v="115"/>
    <n v="281"/>
    <n v="357265"/>
    <n v="9.23"/>
    <n v="25525"/>
    <x v="4"/>
  </r>
  <r>
    <d v="2025-01-27T00:00:00"/>
    <x v="1"/>
    <n v="1249"/>
    <n v="351"/>
    <n v="321307"/>
    <n v="6.37"/>
    <n v="20560"/>
    <x v="4"/>
  </r>
  <r>
    <d v="2025-01-27T00:00:00"/>
    <x v="2"/>
    <n v="1501"/>
    <n v="75"/>
    <n v="262569"/>
    <n v="2.0099999999999998"/>
    <n v="19119"/>
    <x v="4"/>
  </r>
  <r>
    <d v="2025-01-27T00:00:00"/>
    <x v="3"/>
    <n v="1411"/>
    <n v="186"/>
    <n v="461669"/>
    <n v="3.72"/>
    <n v="43999"/>
    <x v="4"/>
  </r>
  <r>
    <d v="2025-02-03T00:00:00"/>
    <x v="0"/>
    <n v="1556"/>
    <n v="476"/>
    <n v="351556"/>
    <n v="3.89"/>
    <n v="10825"/>
    <x v="4"/>
  </r>
  <r>
    <d v="2025-02-03T00:00:00"/>
    <x v="1"/>
    <n v="1159"/>
    <n v="411"/>
    <n v="135987"/>
    <n v="8.6999999999999993"/>
    <n v="40323"/>
    <x v="4"/>
  </r>
  <r>
    <d v="2025-02-03T00:00:00"/>
    <x v="2"/>
    <n v="927"/>
    <n v="358"/>
    <n v="177554"/>
    <n v="6.95"/>
    <n v="48270"/>
    <x v="4"/>
  </r>
  <r>
    <d v="2025-02-03T00:00:00"/>
    <x v="3"/>
    <n v="152"/>
    <n v="355"/>
    <n v="270766"/>
    <n v="9.48"/>
    <n v="18001"/>
    <x v="4"/>
  </r>
  <r>
    <d v="2025-02-10T00:00:00"/>
    <x v="0"/>
    <n v="1957"/>
    <n v="234"/>
    <n v="222126"/>
    <n v="4.6100000000000003"/>
    <n v="3314"/>
    <x v="4"/>
  </r>
  <r>
    <d v="2025-02-10T00:00:00"/>
    <x v="1"/>
    <n v="1294"/>
    <n v="382"/>
    <n v="309914"/>
    <n v="8.0299999999999994"/>
    <n v="23489"/>
    <x v="4"/>
  </r>
  <r>
    <d v="2025-02-10T00:00:00"/>
    <x v="2"/>
    <n v="1587"/>
    <n v="385"/>
    <n v="126582"/>
    <n v="6.99"/>
    <n v="42832"/>
    <x v="4"/>
  </r>
  <r>
    <d v="2025-02-10T00:00:00"/>
    <x v="3"/>
    <n v="1707"/>
    <n v="263"/>
    <n v="485280"/>
    <n v="9.0299999999999994"/>
    <n v="24494"/>
    <x v="4"/>
  </r>
  <r>
    <d v="2025-02-17T00:00:00"/>
    <x v="0"/>
    <n v="1138"/>
    <n v="173"/>
    <n v="453243"/>
    <n v="2.86"/>
    <n v="44097"/>
    <x v="0"/>
  </r>
  <r>
    <d v="2025-02-17T00:00:00"/>
    <x v="1"/>
    <n v="1895"/>
    <n v="305"/>
    <n v="104967"/>
    <n v="3.85"/>
    <n v="31853"/>
    <x v="0"/>
  </r>
  <r>
    <d v="2025-02-17T00:00:00"/>
    <x v="2"/>
    <n v="362"/>
    <n v="399"/>
    <n v="145608"/>
    <n v="7.3"/>
    <n v="37636"/>
    <x v="0"/>
  </r>
  <r>
    <d v="2025-02-17T00:00:00"/>
    <x v="3"/>
    <n v="1662"/>
    <n v="487"/>
    <n v="105980"/>
    <n v="9.08"/>
    <n v="22996"/>
    <x v="0"/>
  </r>
  <r>
    <d v="2025-02-24T00:00:00"/>
    <x v="0"/>
    <n v="1440"/>
    <n v="65"/>
    <n v="126524"/>
    <n v="4.34"/>
    <n v="49772"/>
    <x v="0"/>
  </r>
  <r>
    <d v="2025-02-24T00:00:00"/>
    <x v="1"/>
    <n v="1884"/>
    <n v="177"/>
    <n v="230448"/>
    <n v="7.8"/>
    <n v="22713"/>
    <x v="0"/>
  </r>
  <r>
    <d v="2025-02-24T00:00:00"/>
    <x v="2"/>
    <n v="861"/>
    <n v="153"/>
    <n v="317007"/>
    <n v="3.85"/>
    <n v="8718"/>
    <x v="0"/>
  </r>
  <r>
    <d v="2025-02-24T00:00:00"/>
    <x v="3"/>
    <n v="1063"/>
    <n v="47"/>
    <n v="464239"/>
    <n v="6.58"/>
    <n v="39031"/>
    <x v="0"/>
  </r>
  <r>
    <d v="2025-03-03T00:00:00"/>
    <x v="0"/>
    <n v="1371"/>
    <n v="56"/>
    <n v="257579"/>
    <n v="8.6199999999999992"/>
    <n v="33799"/>
    <x v="0"/>
  </r>
  <r>
    <d v="2025-03-03T00:00:00"/>
    <x v="1"/>
    <n v="345"/>
    <n v="464"/>
    <n v="366881"/>
    <n v="4.55"/>
    <n v="20553"/>
    <x v="0"/>
  </r>
  <r>
    <d v="2025-03-03T00:00:00"/>
    <x v="2"/>
    <n v="946"/>
    <n v="47"/>
    <n v="466575"/>
    <n v="8.33"/>
    <n v="10002"/>
    <x v="0"/>
  </r>
  <r>
    <d v="2025-03-03T00:00:00"/>
    <x v="3"/>
    <n v="510"/>
    <n v="195"/>
    <n v="224534"/>
    <n v="9.4"/>
    <n v="30987"/>
    <x v="0"/>
  </r>
  <r>
    <d v="2025-03-10T00:00:00"/>
    <x v="0"/>
    <n v="393"/>
    <n v="181"/>
    <n v="462142"/>
    <n v="7.23"/>
    <n v="6296"/>
    <x v="0"/>
  </r>
  <r>
    <d v="2025-03-10T00:00:00"/>
    <x v="1"/>
    <n v="1098"/>
    <n v="190"/>
    <n v="340842"/>
    <n v="9.39"/>
    <n v="21539"/>
    <x v="0"/>
  </r>
  <r>
    <d v="2025-03-10T00:00:00"/>
    <x v="2"/>
    <n v="1399"/>
    <n v="49"/>
    <n v="12471"/>
    <n v="5.12"/>
    <n v="14722"/>
    <x v="0"/>
  </r>
  <r>
    <d v="2025-03-10T00:00:00"/>
    <x v="3"/>
    <n v="1658"/>
    <n v="416"/>
    <n v="98397"/>
    <n v="6.11"/>
    <n v="11383"/>
    <x v="0"/>
  </r>
  <r>
    <d v="2025-03-17T00:00:00"/>
    <x v="0"/>
    <n v="1102"/>
    <n v="422"/>
    <n v="410330"/>
    <n v="7.74"/>
    <n v="9480"/>
    <x v="0"/>
  </r>
  <r>
    <d v="2025-03-17T00:00:00"/>
    <x v="1"/>
    <n v="1358"/>
    <n v="242"/>
    <n v="342129"/>
    <n v="4.9400000000000004"/>
    <n v="29116"/>
    <x v="0"/>
  </r>
  <r>
    <d v="2025-03-17T00:00:00"/>
    <x v="2"/>
    <n v="1077"/>
    <n v="216"/>
    <n v="12447"/>
    <n v="1.8"/>
    <n v="14068"/>
    <x v="0"/>
  </r>
  <r>
    <d v="2025-03-17T00:00:00"/>
    <x v="3"/>
    <n v="1596"/>
    <n v="211"/>
    <n v="17380"/>
    <n v="8.64"/>
    <n v="35801"/>
    <x v="0"/>
  </r>
  <r>
    <d v="2025-03-24T00:00:00"/>
    <x v="0"/>
    <n v="490"/>
    <n v="29"/>
    <n v="364810"/>
    <n v="1.53"/>
    <n v="49077"/>
    <x v="0"/>
  </r>
  <r>
    <d v="2025-03-24T00:00:00"/>
    <x v="1"/>
    <n v="609"/>
    <n v="135"/>
    <n v="373606"/>
    <n v="8.52"/>
    <n v="21453"/>
    <x v="0"/>
  </r>
  <r>
    <d v="2025-03-24T00:00:00"/>
    <x v="2"/>
    <n v="364"/>
    <n v="72"/>
    <n v="211090"/>
    <n v="5.53"/>
    <n v="21061"/>
    <x v="0"/>
  </r>
  <r>
    <d v="2025-03-24T00:00:00"/>
    <x v="3"/>
    <n v="442"/>
    <n v="53"/>
    <n v="441931"/>
    <n v="1.87"/>
    <n v="20059"/>
    <x v="0"/>
  </r>
  <r>
    <d v="2025-03-31T00:00:00"/>
    <x v="0"/>
    <n v="1033"/>
    <n v="392"/>
    <n v="282780"/>
    <n v="6.27"/>
    <n v="23140"/>
    <x v="0"/>
  </r>
  <r>
    <d v="2025-03-31T00:00:00"/>
    <x v="1"/>
    <n v="988"/>
    <n v="474"/>
    <n v="370070"/>
    <n v="9.4600000000000009"/>
    <n v="23461"/>
    <x v="0"/>
  </r>
  <r>
    <d v="2025-03-31T00:00:00"/>
    <x v="2"/>
    <n v="1946"/>
    <n v="270"/>
    <n v="198350"/>
    <n v="7.5"/>
    <n v="11805"/>
    <x v="0"/>
  </r>
  <r>
    <d v="2025-03-31T00:00:00"/>
    <x v="3"/>
    <n v="1957"/>
    <n v="490"/>
    <n v="435726"/>
    <n v="4.7300000000000004"/>
    <n v="15969"/>
    <x v="0"/>
  </r>
  <r>
    <d v="2025-04-07T00:00:00"/>
    <x v="0"/>
    <n v="559"/>
    <n v="392"/>
    <n v="78789"/>
    <n v="3.19"/>
    <n v="2436"/>
    <x v="0"/>
  </r>
  <r>
    <d v="2025-04-07T00:00:00"/>
    <x v="1"/>
    <n v="1307"/>
    <n v="278"/>
    <n v="98596"/>
    <n v="2.4900000000000002"/>
    <n v="47603"/>
    <x v="0"/>
  </r>
  <r>
    <d v="2025-04-07T00:00:00"/>
    <x v="2"/>
    <n v="1432"/>
    <n v="425"/>
    <n v="29589"/>
    <n v="4.5"/>
    <n v="42964"/>
    <x v="0"/>
  </r>
  <r>
    <d v="2025-04-07T00:00:00"/>
    <x v="3"/>
    <n v="623"/>
    <n v="414"/>
    <n v="290354"/>
    <n v="6.49"/>
    <n v="39923"/>
    <x v="0"/>
  </r>
  <r>
    <d v="2025-04-14T00:00:00"/>
    <x v="0"/>
    <n v="198"/>
    <n v="358"/>
    <n v="66682"/>
    <n v="6.73"/>
    <n v="2293"/>
    <x v="0"/>
  </r>
  <r>
    <d v="2025-04-14T00:00:00"/>
    <x v="1"/>
    <n v="198"/>
    <n v="373"/>
    <n v="70707"/>
    <n v="4.83"/>
    <n v="25920"/>
    <x v="0"/>
  </r>
  <r>
    <d v="2025-04-14T00:00:00"/>
    <x v="2"/>
    <n v="353"/>
    <n v="300"/>
    <n v="142507"/>
    <n v="5.3"/>
    <n v="11035"/>
    <x v="0"/>
  </r>
  <r>
    <d v="2025-04-14T00:00:00"/>
    <x v="3"/>
    <n v="520"/>
    <n v="375"/>
    <n v="369525"/>
    <n v="6.54"/>
    <n v="20733"/>
    <x v="0"/>
  </r>
  <r>
    <d v="2025-04-21T00:00:00"/>
    <x v="0"/>
    <n v="961"/>
    <n v="358"/>
    <n v="62942"/>
    <n v="6.8"/>
    <n v="18693"/>
    <x v="0"/>
  </r>
  <r>
    <d v="2025-04-21T00:00:00"/>
    <x v="1"/>
    <n v="1375"/>
    <n v="330"/>
    <n v="377382"/>
    <n v="2.6"/>
    <n v="7875"/>
    <x v="0"/>
  </r>
  <r>
    <d v="2025-04-21T00:00:00"/>
    <x v="2"/>
    <n v="1147"/>
    <n v="388"/>
    <n v="333851"/>
    <n v="2.44"/>
    <n v="8471"/>
    <x v="0"/>
  </r>
  <r>
    <d v="2025-04-21T00:00:00"/>
    <x v="3"/>
    <n v="1707"/>
    <n v="74"/>
    <n v="270958"/>
    <n v="3.09"/>
    <n v="14090"/>
    <x v="0"/>
  </r>
  <r>
    <d v="2025-04-28T00:00:00"/>
    <x v="0"/>
    <n v="1693"/>
    <n v="154"/>
    <n v="445944"/>
    <n v="5.69"/>
    <n v="14216"/>
    <x v="0"/>
  </r>
  <r>
    <d v="2025-04-28T00:00:00"/>
    <x v="1"/>
    <n v="833"/>
    <n v="380"/>
    <n v="224830"/>
    <n v="3.86"/>
    <n v="3582"/>
    <x v="0"/>
  </r>
  <r>
    <d v="2025-04-28T00:00:00"/>
    <x v="2"/>
    <n v="1222"/>
    <n v="274"/>
    <n v="487289"/>
    <n v="3.16"/>
    <n v="32500"/>
    <x v="0"/>
  </r>
  <r>
    <d v="2025-04-28T00:00:00"/>
    <x v="3"/>
    <n v="777"/>
    <n v="140"/>
    <n v="11435"/>
    <n v="1.6"/>
    <n v="6832"/>
    <x v="0"/>
  </r>
  <r>
    <d v="2025-05-05T00:00:00"/>
    <x v="0"/>
    <n v="1957"/>
    <n v="76"/>
    <n v="447902"/>
    <n v="6.09"/>
    <n v="33381"/>
    <x v="0"/>
  </r>
  <r>
    <d v="2025-05-05T00:00:00"/>
    <x v="1"/>
    <n v="405"/>
    <n v="66"/>
    <n v="418696"/>
    <n v="5.59"/>
    <n v="48419"/>
    <x v="0"/>
  </r>
  <r>
    <d v="2025-05-05T00:00:00"/>
    <x v="2"/>
    <n v="1581"/>
    <n v="71"/>
    <n v="484364"/>
    <n v="3.55"/>
    <n v="16149"/>
    <x v="0"/>
  </r>
  <r>
    <d v="2025-05-05T00:00:00"/>
    <x v="3"/>
    <n v="1035"/>
    <n v="171"/>
    <n v="148477"/>
    <n v="5.21"/>
    <n v="7541"/>
    <x v="0"/>
  </r>
  <r>
    <d v="2025-05-12T00:00:00"/>
    <x v="0"/>
    <n v="1765"/>
    <n v="109"/>
    <n v="468301"/>
    <n v="1.82"/>
    <n v="20042"/>
    <x v="0"/>
  </r>
  <r>
    <d v="2025-05-12T00:00:00"/>
    <x v="1"/>
    <n v="837"/>
    <n v="430"/>
    <n v="364820"/>
    <n v="4"/>
    <n v="49400"/>
    <x v="0"/>
  </r>
  <r>
    <d v="2025-05-12T00:00:00"/>
    <x v="2"/>
    <n v="337"/>
    <n v="68"/>
    <n v="456298"/>
    <n v="7.57"/>
    <n v="4007"/>
    <x v="0"/>
  </r>
  <r>
    <d v="2025-05-12T00:00:00"/>
    <x v="3"/>
    <n v="119"/>
    <n v="456"/>
    <n v="82558"/>
    <n v="6.81"/>
    <n v="1217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FF0EF8-D547-4410-8D49-5E171F3F916B}"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G7" firstHeaderRow="0" firstDataRow="1" firstDataCol="1"/>
  <pivotFields count="13">
    <pivotField showAll="0"/>
    <pivotField showAll="0"/>
    <pivotField numFmtId="14" showAll="0"/>
    <pivotField showAll="0"/>
    <pivotField showAll="0"/>
    <pivotField dataField="1" showAll="0"/>
    <pivotField showAll="0"/>
    <pivotField showAll="0"/>
    <pivotField dataField="1" showAll="0"/>
    <pivotField showAll="0"/>
    <pivotField dataField="1" showAll="0"/>
    <pivotField showAll="0"/>
    <pivotField axis="axisRow" showAll="0">
      <items count="5">
        <item x="1"/>
        <item x="0"/>
        <item x="2"/>
        <item x="3"/>
        <item t="default"/>
      </items>
    </pivotField>
  </pivotFields>
  <rowFields count="1">
    <field x="12"/>
  </rowFields>
  <rowItems count="4">
    <i>
      <x/>
    </i>
    <i>
      <x v="1"/>
    </i>
    <i>
      <x v="2"/>
    </i>
    <i>
      <x v="3"/>
    </i>
  </rowItems>
  <colFields count="1">
    <field x="-2"/>
  </colFields>
  <colItems count="6">
    <i>
      <x/>
    </i>
    <i i="1">
      <x v="1"/>
    </i>
    <i i="2">
      <x v="2"/>
    </i>
    <i i="3">
      <x v="3"/>
    </i>
    <i i="4">
      <x v="4"/>
    </i>
    <i i="5">
      <x v="5"/>
    </i>
  </colItems>
  <dataFields count="6">
    <dataField name="Sum of Impressions" fld="8" baseField="0" baseItem="0"/>
    <dataField name="Average of Impressions2" fld="8" subtotal="average" baseField="12" baseItem="0"/>
    <dataField name="Sum of Likes" fld="5" baseField="0" baseItem="0"/>
    <dataField name="Average of Likes2" fld="5" subtotal="average" baseField="12" baseItem="0"/>
    <dataField name="Sum of Clicks" fld="10" baseField="0" baseItem="0"/>
    <dataField name="Average of Clicks2" fld="10" subtotal="average"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405B4A-CFEA-4D88-8B08-7927924A0DAC}" name="PivotTable3" cacheId="6" applyNumberFormats="0" applyBorderFormats="0" applyFontFormats="0" applyPatternFormats="0" applyAlignmentFormats="0" applyWidthHeightFormats="1" dataCaption="Values" tag="93e29322-a824-4f3e-bea9-c3a8b837f9a9" updatedVersion="8" minRefreshableVersion="3" useAutoFormatting="1" rowGrandTotals="0" colGrandTotals="0" itemPrintTitles="1" createdVersion="5" indent="0" outline="1" outlineData="1" multipleFieldFilters="0" rowHeaderCaption="Campaign_flag">
  <location ref="B3:C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Average of Engagement_Rate" fld="1" subtotal="average"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Engagement_Rate"/>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st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0BF269-9C56-4CDB-B626-42AE5DE5E0AC}" name="PivotTable1" cacheId="7" applyNumberFormats="0" applyBorderFormats="0" applyFontFormats="0" applyPatternFormats="0" applyAlignmentFormats="0" applyWidthHeightFormats="1" dataCaption="Values" tag="6407d6f6-61ae-492a-8ca3-39b23b4b5dcc" updatedVersion="8" minRefreshableVersion="3" useAutoFormatting="1" rowGrandTotals="0" colGrandTotals="0" itemPrintTitles="1" createdVersion="5" indent="0" outline="1" outlineData="1" multipleFieldFilters="0">
  <location ref="B3:D7"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4">
    <i>
      <x/>
    </i>
    <i>
      <x v="1"/>
    </i>
    <i>
      <x v="2"/>
    </i>
    <i>
      <x v="3"/>
    </i>
  </rowItems>
  <colFields count="1">
    <field x="-2"/>
  </colFields>
  <colItems count="2">
    <i>
      <x/>
    </i>
    <i i="1">
      <x v="1"/>
    </i>
  </colItems>
  <dataFields count="2">
    <dataField name="Sum of Engagement" fld="1" baseField="0" baseItem="0"/>
    <dataField name="Sum of Total_Budget" fld="2"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_Data]"/>
        <x15:activeTabTopLevelEntity name="[Post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F9D58C-F0A6-4C22-9069-A8F10AEBBA6C}" name="PivotTable3"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C10" firstHeaderRow="0" firstDataRow="1" firstDataCol="1"/>
  <pivotFields count="8">
    <pivotField numFmtId="14" showAll="0"/>
    <pivotField showAll="0">
      <items count="5">
        <item x="1"/>
        <item x="0"/>
        <item x="2"/>
        <item x="3"/>
        <item t="default"/>
      </items>
    </pivotField>
    <pivotField showAll="0"/>
    <pivotField showAll="0"/>
    <pivotField dataField="1" showAll="0"/>
    <pivotField showAll="0"/>
    <pivotField showAll="0"/>
    <pivotField axis="axisRow" showAll="0" sortType="ascending">
      <items count="6">
        <item x="1"/>
        <item x="2"/>
        <item x="3"/>
        <item x="0"/>
        <item x="4"/>
        <item t="default"/>
      </items>
    </pivotField>
  </pivotFields>
  <rowFields count="1">
    <field x="7"/>
  </rowFields>
  <rowItems count="5">
    <i>
      <x/>
    </i>
    <i>
      <x v="1"/>
    </i>
    <i>
      <x v="2"/>
    </i>
    <i>
      <x v="3"/>
    </i>
    <i>
      <x v="4"/>
    </i>
  </rowItems>
  <colFields count="1">
    <field x="-2"/>
  </colFields>
  <colItems count="2">
    <i>
      <x/>
    </i>
    <i i="1">
      <x v="1"/>
    </i>
  </colItems>
  <dataFields count="2">
    <dataField name="Max of Total_Followers" fld="4" subtotal="max" baseField="7" baseItem="4"/>
    <dataField name="Min of Total_Followers" fld="4" subtotal="min" baseField="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0913E7D9-0E9F-450F-80D5-E964AB0E6943}" autoFormatId="16" applyNumberFormats="0" applyBorderFormats="0" applyFontFormats="0" applyPatternFormats="0" applyAlignmentFormats="0" applyWidthHeightFormats="0">
  <queryTableRefresh nextId="19" unboundColumnsRight="2">
    <queryTableFields count="15">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5" name="Hashtags Used" tableColumnId="15"/>
      <queryTableField id="14" name="Campaign_Name" tableColumnId="14"/>
      <queryTableField id="17" dataBound="0" tableColumnId="12"/>
      <queryTableField id="18"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C5829201-CB0A-446A-8C09-13FC0CAECDA3}" sourceName="Platform">
  <pivotTables>
    <pivotTable tabId="11" name="PivotTable3"/>
  </pivotTables>
  <data>
    <tabular pivotCacheId="1371651803">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A8F40E5A-D3D7-4491-9869-E6385184519E}" cache="Slicer_Platform" caption="Platform"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1E5D7D-00C2-49A5-B69A-6A609CECBE76}" name="Post5" displayName="Post5" ref="A1:O301" tableType="queryTable" totalsRowShown="0">
  <autoFilter ref="A1:O301" xr:uid="{331E5D7D-00C2-49A5-B69A-6A609CECBE76}"/>
  <tableColumns count="15">
    <tableColumn id="1" xr3:uid="{2C6B8804-B464-46F2-9228-97F5C1805E2B}" uniqueName="1" name="Post ID" queryTableFieldId="1" dataDxfId="8"/>
    <tableColumn id="2" xr3:uid="{376A738A-C988-4C55-B2D6-CA47B5AE91D6}" uniqueName="2" name="Platform" queryTableFieldId="2" dataDxfId="7"/>
    <tableColumn id="3" xr3:uid="{7D9C0F7E-C46B-4886-BFC4-C6D88E0E4DE3}" uniqueName="3" name="Date" queryTableFieldId="3" dataDxfId="6"/>
    <tableColumn id="4" xr3:uid="{33CB495A-EB79-449C-A133-1C2BD9914167}" uniqueName="4" name="Content Type" queryTableFieldId="4" dataDxfId="5"/>
    <tableColumn id="5" xr3:uid="{688BC3F1-04BD-4E3B-93E2-9FD1D3349FD2}" uniqueName="5" name="Post Text" queryTableFieldId="5" dataDxfId="4"/>
    <tableColumn id="6" xr3:uid="{98D46C9E-D40F-45EC-9FCA-06DD8487AD76}" uniqueName="6" name="Likes" queryTableFieldId="6"/>
    <tableColumn id="7" xr3:uid="{540250F6-5168-455A-B898-B3538F51CD74}" uniqueName="7" name="Shares" queryTableFieldId="7"/>
    <tableColumn id="8" xr3:uid="{00DF2B75-27A6-448A-B18C-1F06B030DF60}" uniqueName="8" name="Comments" queryTableFieldId="8"/>
    <tableColumn id="9" xr3:uid="{83C73E2D-C188-45ED-8F7C-EC7EEF1E0547}" uniqueName="9" name="Impressions" queryTableFieldId="9"/>
    <tableColumn id="10" xr3:uid="{47873221-C2E0-44D7-BE1D-F75820DC3EE6}" uniqueName="10" name="Reach" queryTableFieldId="10"/>
    <tableColumn id="11" xr3:uid="{73D79F4E-E6A7-414F-91A1-5E65EAF65FD7}" uniqueName="11" name="Clicks" queryTableFieldId="11"/>
    <tableColumn id="15" xr3:uid="{F2FB40CF-1024-4DDF-B0F6-250F7B07DBE0}" uniqueName="15" name="Hashtags Used" queryTableFieldId="15" dataDxfId="3"/>
    <tableColumn id="14" xr3:uid="{90101A40-B98F-4E89-8869-2FB5122DDA42}" uniqueName="14" name="Campaign_Name" queryTableFieldId="14" dataDxfId="2"/>
    <tableColumn id="12" xr3:uid="{2C1BAC3F-4AD2-40A0-850A-A8089D79353B}" uniqueName="12" name="Engagement_Rate" queryTableFieldId="17" dataDxfId="1">
      <calculatedColumnFormula>(Post5[[#This Row],[Likes]]+Post5[[#This Row],[Shares]]+Post5[[#This Row],[Comments]])/Post5[[#This Row],[Impressions]]</calculatedColumnFormula>
    </tableColumn>
    <tableColumn id="13" xr3:uid="{AD3C42D6-5733-4CBE-AE34-73097822E1E6}" uniqueName="13" name="Engagement" queryTableFieldId="18" dataDxfId="0">
      <calculatedColumnFormula>SUM(Post5[[#This Row],[Likes]],Post5[[#This Row],[Shares]],Post5[[#This Row],[Comments]])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B95A7-C8B4-4546-8C4B-AD3D76B9073B}">
  <dimension ref="A1:V301"/>
  <sheetViews>
    <sheetView workbookViewId="0">
      <selection activeCell="R11" sqref="R11"/>
    </sheetView>
  </sheetViews>
  <sheetFormatPr defaultRowHeight="15" x14ac:dyDescent="0.25"/>
  <cols>
    <col min="3" max="3" width="10.42578125" bestFit="1" customWidth="1"/>
    <col min="11" max="11" width="8.85546875" bestFit="1" customWidth="1"/>
    <col min="12" max="12" width="16.7109375" bestFit="1" customWidth="1"/>
    <col min="13" max="13" width="18.5703125" bestFit="1" customWidth="1"/>
    <col min="14" max="14" width="19.7109375" bestFit="1" customWidth="1"/>
    <col min="15" max="15" width="14.42578125" bestFit="1" customWidth="1"/>
  </cols>
  <sheetData>
    <row r="1" spans="1:22" x14ac:dyDescent="0.25">
      <c r="A1" t="s">
        <v>11</v>
      </c>
      <c r="B1" t="s">
        <v>1</v>
      </c>
      <c r="C1" t="s">
        <v>12</v>
      </c>
      <c r="D1" t="s">
        <v>13</v>
      </c>
      <c r="E1" t="s">
        <v>14</v>
      </c>
      <c r="F1" t="s">
        <v>15</v>
      </c>
      <c r="G1" t="s">
        <v>16</v>
      </c>
      <c r="H1" t="s">
        <v>17</v>
      </c>
      <c r="I1" t="s">
        <v>18</v>
      </c>
      <c r="J1" t="s">
        <v>19</v>
      </c>
      <c r="K1" t="s">
        <v>20</v>
      </c>
      <c r="L1" t="s">
        <v>356</v>
      </c>
      <c r="M1" t="s">
        <v>21</v>
      </c>
      <c r="N1" t="s">
        <v>5</v>
      </c>
      <c r="O1" t="s">
        <v>372</v>
      </c>
    </row>
    <row r="2" spans="1:22" x14ac:dyDescent="0.25">
      <c r="A2" t="s">
        <v>22</v>
      </c>
      <c r="B2" t="s">
        <v>9</v>
      </c>
      <c r="C2" s="1">
        <v>45649</v>
      </c>
      <c r="D2" t="s">
        <v>23</v>
      </c>
      <c r="E2" t="s">
        <v>24</v>
      </c>
      <c r="F2">
        <v>1461</v>
      </c>
      <c r="G2">
        <v>184</v>
      </c>
      <c r="H2">
        <v>344</v>
      </c>
      <c r="I2">
        <v>21915</v>
      </c>
      <c r="J2">
        <v>21675</v>
      </c>
      <c r="K2">
        <v>15</v>
      </c>
      <c r="L2" t="s">
        <v>25</v>
      </c>
      <c r="M2" t="s">
        <v>26</v>
      </c>
      <c r="N2" s="7">
        <f>(Post5[[#This Row],[Likes]]+Post5[[#This Row],[Shares]]+Post5[[#This Row],[Comments]])/Post5[[#This Row],[Impressions]]</f>
        <v>9.0759753593429152E-2</v>
      </c>
      <c r="O2">
        <f>SUM(Post5[[#This Row],[Likes]],Post5[[#This Row],[Shares]],Post5[[#This Row],[Comments]])</f>
        <v>1989</v>
      </c>
    </row>
    <row r="3" spans="1:22" x14ac:dyDescent="0.25">
      <c r="A3" t="s">
        <v>27</v>
      </c>
      <c r="B3" t="s">
        <v>9</v>
      </c>
      <c r="C3" s="1">
        <v>45750</v>
      </c>
      <c r="D3" t="s">
        <v>28</v>
      </c>
      <c r="E3" t="s">
        <v>29</v>
      </c>
      <c r="F3">
        <v>4054</v>
      </c>
      <c r="G3">
        <v>389</v>
      </c>
      <c r="H3">
        <v>493</v>
      </c>
      <c r="I3">
        <v>64864</v>
      </c>
      <c r="J3">
        <v>64383</v>
      </c>
      <c r="K3">
        <v>117</v>
      </c>
      <c r="L3" t="s">
        <v>30</v>
      </c>
      <c r="M3" t="s">
        <v>31</v>
      </c>
      <c r="N3" s="7">
        <f>(Post5[[#This Row],[Likes]]+Post5[[#This Row],[Shares]]+Post5[[#This Row],[Comments]])/Post5[[#This Row],[Impressions]]</f>
        <v>7.6097681302417369E-2</v>
      </c>
      <c r="O3">
        <f>SUM(Post5[[#This Row],[Likes]],Post5[[#This Row],[Shares]],Post5[[#This Row],[Comments]])</f>
        <v>4936</v>
      </c>
    </row>
    <row r="4" spans="1:22" x14ac:dyDescent="0.25">
      <c r="A4" t="s">
        <v>32</v>
      </c>
      <c r="B4" t="s">
        <v>10</v>
      </c>
      <c r="C4" s="1">
        <v>45789</v>
      </c>
      <c r="D4" t="s">
        <v>23</v>
      </c>
      <c r="E4" t="s">
        <v>24</v>
      </c>
      <c r="F4">
        <v>2795</v>
      </c>
      <c r="G4">
        <v>105</v>
      </c>
      <c r="H4">
        <v>49</v>
      </c>
      <c r="I4">
        <v>53105</v>
      </c>
      <c r="J4">
        <v>52307</v>
      </c>
      <c r="K4">
        <v>204</v>
      </c>
      <c r="L4" t="s">
        <v>30</v>
      </c>
      <c r="M4" t="s">
        <v>26</v>
      </c>
      <c r="N4" s="7">
        <f>(Post5[[#This Row],[Likes]]+Post5[[#This Row],[Shares]]+Post5[[#This Row],[Comments]])/Post5[[#This Row],[Impressions]]</f>
        <v>5.5531494209584788E-2</v>
      </c>
      <c r="O4">
        <f>SUM(Post5[[#This Row],[Likes]],Post5[[#This Row],[Shares]],Post5[[#This Row],[Comments]])</f>
        <v>2949</v>
      </c>
    </row>
    <row r="5" spans="1:22" x14ac:dyDescent="0.25">
      <c r="A5" t="s">
        <v>33</v>
      </c>
      <c r="B5" t="s">
        <v>7</v>
      </c>
      <c r="C5" s="1">
        <v>45516</v>
      </c>
      <c r="D5" t="s">
        <v>34</v>
      </c>
      <c r="E5" t="s">
        <v>35</v>
      </c>
      <c r="F5">
        <v>2404</v>
      </c>
      <c r="G5">
        <v>363</v>
      </c>
      <c r="H5">
        <v>138</v>
      </c>
      <c r="I5">
        <v>19232</v>
      </c>
      <c r="J5">
        <v>18636</v>
      </c>
      <c r="K5">
        <v>128</v>
      </c>
      <c r="L5" t="s">
        <v>25</v>
      </c>
      <c r="M5" t="s">
        <v>26</v>
      </c>
      <c r="N5" s="7">
        <f>(Post5[[#This Row],[Likes]]+Post5[[#This Row],[Shares]]+Post5[[#This Row],[Comments]])/Post5[[#This Row],[Impressions]]</f>
        <v>0.15105033277870217</v>
      </c>
      <c r="O5">
        <f>SUM(Post5[[#This Row],[Likes]],Post5[[#This Row],[Shares]],Post5[[#This Row],[Comments]])</f>
        <v>2905</v>
      </c>
    </row>
    <row r="6" spans="1:22" ht="16.5" customHeight="1" x14ac:dyDescent="0.25">
      <c r="A6" t="s">
        <v>36</v>
      </c>
      <c r="B6" t="s">
        <v>10</v>
      </c>
      <c r="C6" s="1">
        <v>45469</v>
      </c>
      <c r="D6" t="s">
        <v>23</v>
      </c>
      <c r="E6" t="s">
        <v>24</v>
      </c>
      <c r="F6">
        <v>3557</v>
      </c>
      <c r="G6">
        <v>687</v>
      </c>
      <c r="H6">
        <v>424</v>
      </c>
      <c r="I6">
        <v>71140</v>
      </c>
      <c r="J6">
        <v>70701</v>
      </c>
      <c r="K6">
        <v>224</v>
      </c>
      <c r="L6" t="s">
        <v>37</v>
      </c>
      <c r="M6" t="s">
        <v>38</v>
      </c>
      <c r="N6" s="7">
        <f>(Post5[[#This Row],[Likes]]+Post5[[#This Row],[Shares]]+Post5[[#This Row],[Comments]])/Post5[[#This Row],[Impressions]]</f>
        <v>6.5617093055946027E-2</v>
      </c>
      <c r="O6">
        <f>SUM(Post5[[#This Row],[Likes]],Post5[[#This Row],[Shares]],Post5[[#This Row],[Comments]])</f>
        <v>4668</v>
      </c>
      <c r="R6" s="32" t="s">
        <v>387</v>
      </c>
      <c r="S6" s="32"/>
      <c r="T6" s="32"/>
      <c r="U6" s="32"/>
      <c r="V6" s="32"/>
    </row>
    <row r="7" spans="1:22" x14ac:dyDescent="0.25">
      <c r="A7" t="s">
        <v>39</v>
      </c>
      <c r="B7" t="s">
        <v>8</v>
      </c>
      <c r="C7" s="1">
        <v>45596</v>
      </c>
      <c r="D7" t="s">
        <v>40</v>
      </c>
      <c r="E7" t="s">
        <v>41</v>
      </c>
      <c r="F7">
        <v>2945</v>
      </c>
      <c r="G7">
        <v>930</v>
      </c>
      <c r="H7">
        <v>355</v>
      </c>
      <c r="I7">
        <v>23560</v>
      </c>
      <c r="J7">
        <v>23275</v>
      </c>
      <c r="K7">
        <v>256</v>
      </c>
      <c r="L7" t="s">
        <v>42</v>
      </c>
      <c r="M7" t="s">
        <v>31</v>
      </c>
      <c r="N7" s="7">
        <f>(Post5[[#This Row],[Likes]]+Post5[[#This Row],[Shares]]+Post5[[#This Row],[Comments]])/Post5[[#This Row],[Impressions]]</f>
        <v>0.17954159592529711</v>
      </c>
      <c r="O7">
        <f>SUM(Post5[[#This Row],[Likes]],Post5[[#This Row],[Shares]],Post5[[#This Row],[Comments]])</f>
        <v>4230</v>
      </c>
      <c r="R7" s="32"/>
      <c r="S7" s="32"/>
      <c r="T7" s="32"/>
      <c r="U7" s="32"/>
      <c r="V7" s="32"/>
    </row>
    <row r="8" spans="1:22" x14ac:dyDescent="0.25">
      <c r="A8" t="s">
        <v>43</v>
      </c>
      <c r="B8" t="s">
        <v>9</v>
      </c>
      <c r="C8" s="1">
        <v>45467</v>
      </c>
      <c r="D8" t="s">
        <v>40</v>
      </c>
      <c r="E8" t="s">
        <v>41</v>
      </c>
      <c r="F8">
        <v>3860</v>
      </c>
      <c r="G8">
        <v>201</v>
      </c>
      <c r="H8">
        <v>279</v>
      </c>
      <c r="I8">
        <v>61760</v>
      </c>
      <c r="J8">
        <v>61660</v>
      </c>
      <c r="K8">
        <v>235</v>
      </c>
      <c r="L8" t="s">
        <v>42</v>
      </c>
      <c r="M8" t="s">
        <v>38</v>
      </c>
      <c r="N8" s="7">
        <f>(Post5[[#This Row],[Likes]]+Post5[[#This Row],[Shares]]+Post5[[#This Row],[Comments]])/Post5[[#This Row],[Impressions]]</f>
        <v>7.0272020725388601E-2</v>
      </c>
      <c r="O8">
        <f>SUM(Post5[[#This Row],[Likes]],Post5[[#This Row],[Shares]],Post5[[#This Row],[Comments]])</f>
        <v>4340</v>
      </c>
      <c r="R8" s="32"/>
      <c r="S8" s="32"/>
      <c r="T8" s="32"/>
      <c r="U8" s="32"/>
      <c r="V8" s="32"/>
    </row>
    <row r="9" spans="1:22" x14ac:dyDescent="0.25">
      <c r="A9" t="s">
        <v>44</v>
      </c>
      <c r="B9" t="s">
        <v>10</v>
      </c>
      <c r="C9" s="1">
        <v>45486</v>
      </c>
      <c r="D9" t="s">
        <v>45</v>
      </c>
      <c r="E9" t="s">
        <v>46</v>
      </c>
      <c r="F9">
        <v>3929</v>
      </c>
      <c r="G9">
        <v>262</v>
      </c>
      <c r="H9">
        <v>278</v>
      </c>
      <c r="I9">
        <v>43219</v>
      </c>
      <c r="J9">
        <v>42841</v>
      </c>
      <c r="K9">
        <v>39</v>
      </c>
      <c r="L9" t="s">
        <v>30</v>
      </c>
      <c r="M9" t="s">
        <v>38</v>
      </c>
      <c r="N9" s="7">
        <f>(Post5[[#This Row],[Likes]]+Post5[[#This Row],[Shares]]+Post5[[#This Row],[Comments]])/Post5[[#This Row],[Impressions]]</f>
        <v>0.10340359564080613</v>
      </c>
      <c r="O9">
        <f>SUM(Post5[[#This Row],[Likes]],Post5[[#This Row],[Shares]],Post5[[#This Row],[Comments]])</f>
        <v>4469</v>
      </c>
    </row>
    <row r="10" spans="1:22" x14ac:dyDescent="0.25">
      <c r="A10" t="s">
        <v>47</v>
      </c>
      <c r="B10" t="s">
        <v>8</v>
      </c>
      <c r="C10" s="1">
        <v>45534</v>
      </c>
      <c r="D10" t="s">
        <v>28</v>
      </c>
      <c r="E10" t="s">
        <v>29</v>
      </c>
      <c r="F10">
        <v>3784</v>
      </c>
      <c r="G10">
        <v>808</v>
      </c>
      <c r="H10">
        <v>404</v>
      </c>
      <c r="I10">
        <v>56760</v>
      </c>
      <c r="J10">
        <v>56343</v>
      </c>
      <c r="K10">
        <v>131</v>
      </c>
      <c r="L10" t="s">
        <v>30</v>
      </c>
      <c r="M10" t="s">
        <v>38</v>
      </c>
      <c r="N10" s="7">
        <f>(Post5[[#This Row],[Likes]]+Post5[[#This Row],[Shares]]+Post5[[#This Row],[Comments]])/Post5[[#This Row],[Impressions]]</f>
        <v>8.8019732205778717E-2</v>
      </c>
      <c r="O10">
        <f>SUM(Post5[[#This Row],[Likes]],Post5[[#This Row],[Shares]],Post5[[#This Row],[Comments]])</f>
        <v>4996</v>
      </c>
    </row>
    <row r="11" spans="1:22" x14ac:dyDescent="0.25">
      <c r="A11" t="s">
        <v>48</v>
      </c>
      <c r="B11" t="s">
        <v>8</v>
      </c>
      <c r="C11" s="1">
        <v>45727</v>
      </c>
      <c r="D11" t="s">
        <v>45</v>
      </c>
      <c r="E11" t="s">
        <v>46</v>
      </c>
      <c r="F11">
        <v>4241</v>
      </c>
      <c r="G11">
        <v>902</v>
      </c>
      <c r="H11">
        <v>47</v>
      </c>
      <c r="I11">
        <v>72097</v>
      </c>
      <c r="J11">
        <v>71598</v>
      </c>
      <c r="K11">
        <v>167</v>
      </c>
      <c r="L11" t="s">
        <v>42</v>
      </c>
      <c r="M11" t="s">
        <v>49</v>
      </c>
      <c r="N11" s="7">
        <f>(Post5[[#This Row],[Likes]]+Post5[[#This Row],[Shares]]+Post5[[#This Row],[Comments]])/Post5[[#This Row],[Impressions]]</f>
        <v>7.198635172059864E-2</v>
      </c>
      <c r="O11">
        <f>SUM(Post5[[#This Row],[Likes]],Post5[[#This Row],[Shares]],Post5[[#This Row],[Comments]])</f>
        <v>5190</v>
      </c>
    </row>
    <row r="12" spans="1:22" x14ac:dyDescent="0.25">
      <c r="A12" t="s">
        <v>50</v>
      </c>
      <c r="B12" t="s">
        <v>7</v>
      </c>
      <c r="C12" s="1">
        <v>45690</v>
      </c>
      <c r="D12" t="s">
        <v>34</v>
      </c>
      <c r="E12" t="s">
        <v>35</v>
      </c>
      <c r="F12">
        <v>1792</v>
      </c>
      <c r="G12">
        <v>614</v>
      </c>
      <c r="H12">
        <v>497</v>
      </c>
      <c r="I12">
        <v>25088</v>
      </c>
      <c r="J12">
        <v>24675</v>
      </c>
      <c r="K12">
        <v>65</v>
      </c>
      <c r="L12" t="s">
        <v>37</v>
      </c>
      <c r="M12" t="s">
        <v>26</v>
      </c>
      <c r="N12" s="7">
        <f>(Post5[[#This Row],[Likes]]+Post5[[#This Row],[Shares]]+Post5[[#This Row],[Comments]])/Post5[[#This Row],[Impressions]]</f>
        <v>0.11571269132653061</v>
      </c>
      <c r="O12">
        <f>SUM(Post5[[#This Row],[Likes]],Post5[[#This Row],[Shares]],Post5[[#This Row],[Comments]])</f>
        <v>2903</v>
      </c>
    </row>
    <row r="13" spans="1:22" x14ac:dyDescent="0.25">
      <c r="A13" t="s">
        <v>51</v>
      </c>
      <c r="B13" t="s">
        <v>8</v>
      </c>
      <c r="C13" s="1">
        <v>45494</v>
      </c>
      <c r="D13" t="s">
        <v>23</v>
      </c>
      <c r="E13" t="s">
        <v>24</v>
      </c>
      <c r="F13">
        <v>1946</v>
      </c>
      <c r="G13">
        <v>686</v>
      </c>
      <c r="H13">
        <v>377</v>
      </c>
      <c r="I13">
        <v>23352</v>
      </c>
      <c r="J13">
        <v>22982</v>
      </c>
      <c r="K13">
        <v>213</v>
      </c>
      <c r="L13" t="s">
        <v>37</v>
      </c>
      <c r="M13" t="s">
        <v>38</v>
      </c>
      <c r="N13" s="7">
        <f>(Post5[[#This Row],[Likes]]+Post5[[#This Row],[Shares]]+Post5[[#This Row],[Comments]])/Post5[[#This Row],[Impressions]]</f>
        <v>0.12885405960945528</v>
      </c>
      <c r="O13">
        <f>SUM(Post5[[#This Row],[Likes]],Post5[[#This Row],[Shares]],Post5[[#This Row],[Comments]])</f>
        <v>3009</v>
      </c>
    </row>
    <row r="14" spans="1:22" x14ac:dyDescent="0.25">
      <c r="A14" t="s">
        <v>52</v>
      </c>
      <c r="B14" t="s">
        <v>10</v>
      </c>
      <c r="C14" s="1">
        <v>45614</v>
      </c>
      <c r="D14" t="s">
        <v>40</v>
      </c>
      <c r="E14" t="s">
        <v>41</v>
      </c>
      <c r="F14">
        <v>1171</v>
      </c>
      <c r="G14">
        <v>286</v>
      </c>
      <c r="H14">
        <v>231</v>
      </c>
      <c r="I14">
        <v>22249</v>
      </c>
      <c r="J14">
        <v>21282</v>
      </c>
      <c r="K14">
        <v>114</v>
      </c>
      <c r="L14" t="s">
        <v>30</v>
      </c>
      <c r="M14" t="s">
        <v>49</v>
      </c>
      <c r="N14" s="7">
        <f>(Post5[[#This Row],[Likes]]+Post5[[#This Row],[Shares]]+Post5[[#This Row],[Comments]])/Post5[[#This Row],[Impressions]]</f>
        <v>7.5868578363072495E-2</v>
      </c>
      <c r="O14">
        <f>SUM(Post5[[#This Row],[Likes]],Post5[[#This Row],[Shares]],Post5[[#This Row],[Comments]])</f>
        <v>1688</v>
      </c>
    </row>
    <row r="15" spans="1:22" x14ac:dyDescent="0.25">
      <c r="A15" t="s">
        <v>53</v>
      </c>
      <c r="B15" t="s">
        <v>8</v>
      </c>
      <c r="C15" s="1">
        <v>45704</v>
      </c>
      <c r="D15" t="s">
        <v>34</v>
      </c>
      <c r="E15" t="s">
        <v>35</v>
      </c>
      <c r="F15">
        <v>4242</v>
      </c>
      <c r="G15">
        <v>555</v>
      </c>
      <c r="H15">
        <v>131</v>
      </c>
      <c r="I15">
        <v>33936</v>
      </c>
      <c r="J15">
        <v>33802</v>
      </c>
      <c r="K15">
        <v>265</v>
      </c>
      <c r="L15" t="s">
        <v>25</v>
      </c>
      <c r="M15" t="s">
        <v>38</v>
      </c>
      <c r="N15" s="7">
        <f>(Post5[[#This Row],[Likes]]+Post5[[#This Row],[Shares]]+Post5[[#This Row],[Comments]])/Post5[[#This Row],[Impressions]]</f>
        <v>0.14521452145214522</v>
      </c>
      <c r="O15">
        <f>SUM(Post5[[#This Row],[Likes]],Post5[[#This Row],[Shares]],Post5[[#This Row],[Comments]])</f>
        <v>4928</v>
      </c>
    </row>
    <row r="16" spans="1:22" x14ac:dyDescent="0.25">
      <c r="A16" t="s">
        <v>54</v>
      </c>
      <c r="B16" t="s">
        <v>8</v>
      </c>
      <c r="C16" s="1">
        <v>45589</v>
      </c>
      <c r="D16" t="s">
        <v>55</v>
      </c>
      <c r="E16" t="s">
        <v>56</v>
      </c>
      <c r="F16">
        <v>3888</v>
      </c>
      <c r="G16">
        <v>604</v>
      </c>
      <c r="H16">
        <v>128</v>
      </c>
      <c r="I16">
        <v>77760</v>
      </c>
      <c r="J16">
        <v>77167</v>
      </c>
      <c r="K16">
        <v>20</v>
      </c>
      <c r="L16" t="s">
        <v>30</v>
      </c>
      <c r="M16" t="s">
        <v>26</v>
      </c>
      <c r="N16" s="7">
        <f>(Post5[[#This Row],[Likes]]+Post5[[#This Row],[Shares]]+Post5[[#This Row],[Comments]])/Post5[[#This Row],[Impressions]]</f>
        <v>5.941358024691358E-2</v>
      </c>
      <c r="O16">
        <f>SUM(Post5[[#This Row],[Likes]],Post5[[#This Row],[Shares]],Post5[[#This Row],[Comments]])</f>
        <v>4620</v>
      </c>
    </row>
    <row r="17" spans="1:15" x14ac:dyDescent="0.25">
      <c r="A17" t="s">
        <v>58</v>
      </c>
      <c r="B17" t="s">
        <v>8</v>
      </c>
      <c r="C17" s="1">
        <v>45530</v>
      </c>
      <c r="D17" t="s">
        <v>28</v>
      </c>
      <c r="E17" t="s">
        <v>29</v>
      </c>
      <c r="F17">
        <v>3452</v>
      </c>
      <c r="G17">
        <v>377</v>
      </c>
      <c r="H17">
        <v>360</v>
      </c>
      <c r="I17">
        <v>55232</v>
      </c>
      <c r="J17">
        <v>55075</v>
      </c>
      <c r="K17">
        <v>87</v>
      </c>
      <c r="L17" t="s">
        <v>25</v>
      </c>
      <c r="M17" t="s">
        <v>38</v>
      </c>
      <c r="N17" s="7">
        <f>(Post5[[#This Row],[Likes]]+Post5[[#This Row],[Shares]]+Post5[[#This Row],[Comments]])/Post5[[#This Row],[Impressions]]</f>
        <v>7.5843713789107758E-2</v>
      </c>
      <c r="O17">
        <f>SUM(Post5[[#This Row],[Likes]],Post5[[#This Row],[Shares]],Post5[[#This Row],[Comments]])</f>
        <v>4189</v>
      </c>
    </row>
    <row r="18" spans="1:15" x14ac:dyDescent="0.25">
      <c r="A18" t="s">
        <v>59</v>
      </c>
      <c r="B18" t="s">
        <v>8</v>
      </c>
      <c r="C18" s="1">
        <v>45782</v>
      </c>
      <c r="D18" t="s">
        <v>28</v>
      </c>
      <c r="E18" t="s">
        <v>29</v>
      </c>
      <c r="F18">
        <v>4441</v>
      </c>
      <c r="G18">
        <v>511</v>
      </c>
      <c r="H18">
        <v>70</v>
      </c>
      <c r="I18">
        <v>53292</v>
      </c>
      <c r="J18">
        <v>53082</v>
      </c>
      <c r="K18">
        <v>159</v>
      </c>
      <c r="L18" t="s">
        <v>57</v>
      </c>
      <c r="M18" t="s">
        <v>38</v>
      </c>
      <c r="N18" s="7">
        <f>(Post5[[#This Row],[Likes]]+Post5[[#This Row],[Shares]]+Post5[[#This Row],[Comments]])/Post5[[#This Row],[Impressions]]</f>
        <v>9.4235532537716729E-2</v>
      </c>
      <c r="O18">
        <f>SUM(Post5[[#This Row],[Likes]],Post5[[#This Row],[Shares]],Post5[[#This Row],[Comments]])</f>
        <v>5022</v>
      </c>
    </row>
    <row r="19" spans="1:15" x14ac:dyDescent="0.25">
      <c r="A19" t="s">
        <v>60</v>
      </c>
      <c r="B19" t="s">
        <v>7</v>
      </c>
      <c r="C19" s="1">
        <v>45523</v>
      </c>
      <c r="D19" t="s">
        <v>23</v>
      </c>
      <c r="E19" t="s">
        <v>24</v>
      </c>
      <c r="F19">
        <v>3000</v>
      </c>
      <c r="G19">
        <v>382</v>
      </c>
      <c r="H19">
        <v>325</v>
      </c>
      <c r="I19">
        <v>36000</v>
      </c>
      <c r="J19">
        <v>35819</v>
      </c>
      <c r="K19">
        <v>19</v>
      </c>
      <c r="L19" t="s">
        <v>37</v>
      </c>
      <c r="M19" t="s">
        <v>31</v>
      </c>
      <c r="N19" s="7">
        <f>(Post5[[#This Row],[Likes]]+Post5[[#This Row],[Shares]]+Post5[[#This Row],[Comments]])/Post5[[#This Row],[Impressions]]</f>
        <v>0.10297222222222223</v>
      </c>
      <c r="O19">
        <f>SUM(Post5[[#This Row],[Likes]],Post5[[#This Row],[Shares]],Post5[[#This Row],[Comments]])</f>
        <v>3707</v>
      </c>
    </row>
    <row r="20" spans="1:15" x14ac:dyDescent="0.25">
      <c r="A20" t="s">
        <v>61</v>
      </c>
      <c r="B20" t="s">
        <v>7</v>
      </c>
      <c r="C20" s="1">
        <v>45466</v>
      </c>
      <c r="D20" t="s">
        <v>55</v>
      </c>
      <c r="E20" t="s">
        <v>56</v>
      </c>
      <c r="F20">
        <v>1071</v>
      </c>
      <c r="G20">
        <v>519</v>
      </c>
      <c r="H20">
        <v>22</v>
      </c>
      <c r="I20">
        <v>16065</v>
      </c>
      <c r="J20">
        <v>15865</v>
      </c>
      <c r="K20">
        <v>103</v>
      </c>
      <c r="L20" t="s">
        <v>25</v>
      </c>
      <c r="M20" t="s">
        <v>38</v>
      </c>
      <c r="N20" s="7">
        <f>(Post5[[#This Row],[Likes]]+Post5[[#This Row],[Shares]]+Post5[[#This Row],[Comments]])/Post5[[#This Row],[Impressions]]</f>
        <v>0.10034235916588857</v>
      </c>
      <c r="O20">
        <f>SUM(Post5[[#This Row],[Likes]],Post5[[#This Row],[Shares]],Post5[[#This Row],[Comments]])</f>
        <v>1612</v>
      </c>
    </row>
    <row r="21" spans="1:15" x14ac:dyDescent="0.25">
      <c r="A21" t="s">
        <v>62</v>
      </c>
      <c r="B21" t="s">
        <v>7</v>
      </c>
      <c r="C21" s="1">
        <v>45544</v>
      </c>
      <c r="D21" t="s">
        <v>40</v>
      </c>
      <c r="E21" t="s">
        <v>41</v>
      </c>
      <c r="F21">
        <v>4054</v>
      </c>
      <c r="G21">
        <v>488</v>
      </c>
      <c r="H21">
        <v>373</v>
      </c>
      <c r="I21">
        <v>77026</v>
      </c>
      <c r="J21">
        <v>76881</v>
      </c>
      <c r="K21">
        <v>25</v>
      </c>
      <c r="L21" t="s">
        <v>30</v>
      </c>
      <c r="M21" t="s">
        <v>38</v>
      </c>
      <c r="N21" s="7">
        <f>(Post5[[#This Row],[Likes]]+Post5[[#This Row],[Shares]]+Post5[[#This Row],[Comments]])/Post5[[#This Row],[Impressions]]</f>
        <v>6.3809622724794221E-2</v>
      </c>
      <c r="O21">
        <f>SUM(Post5[[#This Row],[Likes]],Post5[[#This Row],[Shares]],Post5[[#This Row],[Comments]])</f>
        <v>4915</v>
      </c>
    </row>
    <row r="22" spans="1:15" x14ac:dyDescent="0.25">
      <c r="A22" t="s">
        <v>63</v>
      </c>
      <c r="B22" t="s">
        <v>7</v>
      </c>
      <c r="C22" s="1">
        <v>45661</v>
      </c>
      <c r="D22" t="s">
        <v>23</v>
      </c>
      <c r="E22" t="s">
        <v>24</v>
      </c>
      <c r="F22">
        <v>4838</v>
      </c>
      <c r="G22">
        <v>640</v>
      </c>
      <c r="H22">
        <v>128</v>
      </c>
      <c r="I22">
        <v>72570</v>
      </c>
      <c r="J22">
        <v>72396</v>
      </c>
      <c r="K22">
        <v>83</v>
      </c>
      <c r="L22" t="s">
        <v>37</v>
      </c>
      <c r="M22" t="s">
        <v>38</v>
      </c>
      <c r="N22" s="7">
        <f>(Post5[[#This Row],[Likes]]+Post5[[#This Row],[Shares]]+Post5[[#This Row],[Comments]])/Post5[[#This Row],[Impressions]]</f>
        <v>7.7249552156538517E-2</v>
      </c>
      <c r="O22">
        <f>SUM(Post5[[#This Row],[Likes]],Post5[[#This Row],[Shares]],Post5[[#This Row],[Comments]])</f>
        <v>5606</v>
      </c>
    </row>
    <row r="23" spans="1:15" x14ac:dyDescent="0.25">
      <c r="A23" t="s">
        <v>64</v>
      </c>
      <c r="B23" t="s">
        <v>8</v>
      </c>
      <c r="C23" s="1">
        <v>45715</v>
      </c>
      <c r="D23" t="s">
        <v>28</v>
      </c>
      <c r="E23" t="s">
        <v>29</v>
      </c>
      <c r="F23">
        <v>1570</v>
      </c>
      <c r="G23">
        <v>187</v>
      </c>
      <c r="H23">
        <v>260</v>
      </c>
      <c r="I23">
        <v>25120</v>
      </c>
      <c r="J23">
        <v>24613</v>
      </c>
      <c r="K23">
        <v>133</v>
      </c>
      <c r="L23" t="s">
        <v>25</v>
      </c>
      <c r="M23" t="s">
        <v>49</v>
      </c>
      <c r="N23" s="7">
        <f>(Post5[[#This Row],[Likes]]+Post5[[#This Row],[Shares]]+Post5[[#This Row],[Comments]])/Post5[[#This Row],[Impressions]]</f>
        <v>8.0294585987261149E-2</v>
      </c>
      <c r="O23">
        <f>SUM(Post5[[#This Row],[Likes]],Post5[[#This Row],[Shares]],Post5[[#This Row],[Comments]])</f>
        <v>2017</v>
      </c>
    </row>
    <row r="24" spans="1:15" x14ac:dyDescent="0.25">
      <c r="A24" t="s">
        <v>65</v>
      </c>
      <c r="B24" t="s">
        <v>8</v>
      </c>
      <c r="C24" s="1">
        <v>45602</v>
      </c>
      <c r="D24" t="s">
        <v>55</v>
      </c>
      <c r="E24" t="s">
        <v>56</v>
      </c>
      <c r="F24">
        <v>1606</v>
      </c>
      <c r="G24">
        <v>547</v>
      </c>
      <c r="H24">
        <v>316</v>
      </c>
      <c r="I24">
        <v>32120</v>
      </c>
      <c r="J24">
        <v>31736</v>
      </c>
      <c r="K24">
        <v>225</v>
      </c>
      <c r="L24" t="s">
        <v>25</v>
      </c>
      <c r="M24" t="s">
        <v>38</v>
      </c>
      <c r="N24" s="7">
        <f>(Post5[[#This Row],[Likes]]+Post5[[#This Row],[Shares]]+Post5[[#This Row],[Comments]])/Post5[[#This Row],[Impressions]]</f>
        <v>7.6867995018679955E-2</v>
      </c>
      <c r="O24">
        <f>SUM(Post5[[#This Row],[Likes]],Post5[[#This Row],[Shares]],Post5[[#This Row],[Comments]])</f>
        <v>2469</v>
      </c>
    </row>
    <row r="25" spans="1:15" x14ac:dyDescent="0.25">
      <c r="A25" t="s">
        <v>66</v>
      </c>
      <c r="B25" t="s">
        <v>8</v>
      </c>
      <c r="C25" s="1">
        <v>45680</v>
      </c>
      <c r="D25" t="s">
        <v>55</v>
      </c>
      <c r="E25" t="s">
        <v>56</v>
      </c>
      <c r="F25">
        <v>3961</v>
      </c>
      <c r="G25">
        <v>761</v>
      </c>
      <c r="H25">
        <v>131</v>
      </c>
      <c r="I25">
        <v>67337</v>
      </c>
      <c r="J25">
        <v>66615</v>
      </c>
      <c r="K25">
        <v>161</v>
      </c>
      <c r="L25" t="s">
        <v>42</v>
      </c>
      <c r="M25" t="s">
        <v>31</v>
      </c>
      <c r="N25" s="7">
        <f>(Post5[[#This Row],[Likes]]+Post5[[#This Row],[Shares]]+Post5[[#This Row],[Comments]])/Post5[[#This Row],[Impressions]]</f>
        <v>7.2070332803659209E-2</v>
      </c>
      <c r="O25">
        <f>SUM(Post5[[#This Row],[Likes]],Post5[[#This Row],[Shares]],Post5[[#This Row],[Comments]])</f>
        <v>4853</v>
      </c>
    </row>
    <row r="26" spans="1:15" x14ac:dyDescent="0.25">
      <c r="A26" t="s">
        <v>67</v>
      </c>
      <c r="B26" t="s">
        <v>9</v>
      </c>
      <c r="C26" s="1">
        <v>45757</v>
      </c>
      <c r="D26" t="s">
        <v>40</v>
      </c>
      <c r="E26" t="s">
        <v>41</v>
      </c>
      <c r="F26">
        <v>3128</v>
      </c>
      <c r="G26">
        <v>211</v>
      </c>
      <c r="H26">
        <v>197</v>
      </c>
      <c r="I26">
        <v>59432</v>
      </c>
      <c r="J26">
        <v>59182</v>
      </c>
      <c r="K26">
        <v>238</v>
      </c>
      <c r="L26" t="s">
        <v>37</v>
      </c>
      <c r="M26" t="s">
        <v>26</v>
      </c>
      <c r="N26" s="7">
        <f>(Post5[[#This Row],[Likes]]+Post5[[#This Row],[Shares]]+Post5[[#This Row],[Comments]])/Post5[[#This Row],[Impressions]]</f>
        <v>5.9496567505720827E-2</v>
      </c>
      <c r="O26">
        <f>SUM(Post5[[#This Row],[Likes]],Post5[[#This Row],[Shares]],Post5[[#This Row],[Comments]])</f>
        <v>3536</v>
      </c>
    </row>
    <row r="27" spans="1:15" x14ac:dyDescent="0.25">
      <c r="A27" t="s">
        <v>68</v>
      </c>
      <c r="B27" t="s">
        <v>10</v>
      </c>
      <c r="C27" s="1">
        <v>45752</v>
      </c>
      <c r="D27" t="s">
        <v>23</v>
      </c>
      <c r="E27" t="s">
        <v>24</v>
      </c>
      <c r="F27">
        <v>3009</v>
      </c>
      <c r="G27">
        <v>413</v>
      </c>
      <c r="H27">
        <v>358</v>
      </c>
      <c r="I27">
        <v>42126</v>
      </c>
      <c r="J27">
        <v>41309</v>
      </c>
      <c r="K27">
        <v>211</v>
      </c>
      <c r="L27" t="s">
        <v>25</v>
      </c>
      <c r="M27" t="s">
        <v>31</v>
      </c>
      <c r="N27" s="7">
        <f>(Post5[[#This Row],[Likes]]+Post5[[#This Row],[Shares]]+Post5[[#This Row],[Comments]])/Post5[[#This Row],[Impressions]]</f>
        <v>8.9730807577268201E-2</v>
      </c>
      <c r="O27">
        <f>SUM(Post5[[#This Row],[Likes]],Post5[[#This Row],[Shares]],Post5[[#This Row],[Comments]])</f>
        <v>3780</v>
      </c>
    </row>
    <row r="28" spans="1:15" x14ac:dyDescent="0.25">
      <c r="A28" t="s">
        <v>69</v>
      </c>
      <c r="B28" t="s">
        <v>10</v>
      </c>
      <c r="C28" s="1">
        <v>45552</v>
      </c>
      <c r="D28" t="s">
        <v>28</v>
      </c>
      <c r="E28" t="s">
        <v>29</v>
      </c>
      <c r="F28">
        <v>2076</v>
      </c>
      <c r="G28">
        <v>195</v>
      </c>
      <c r="H28">
        <v>104</v>
      </c>
      <c r="I28">
        <v>33216</v>
      </c>
      <c r="J28">
        <v>32244</v>
      </c>
      <c r="K28">
        <v>51</v>
      </c>
      <c r="L28" t="s">
        <v>42</v>
      </c>
      <c r="M28" t="s">
        <v>49</v>
      </c>
      <c r="N28" s="7">
        <f>(Post5[[#This Row],[Likes]]+Post5[[#This Row],[Shares]]+Post5[[#This Row],[Comments]])/Post5[[#This Row],[Impressions]]</f>
        <v>7.1501685934489398E-2</v>
      </c>
      <c r="O28">
        <f>SUM(Post5[[#This Row],[Likes]],Post5[[#This Row],[Shares]],Post5[[#This Row],[Comments]])</f>
        <v>2375</v>
      </c>
    </row>
    <row r="29" spans="1:15" x14ac:dyDescent="0.25">
      <c r="A29" t="s">
        <v>70</v>
      </c>
      <c r="B29" t="s">
        <v>7</v>
      </c>
      <c r="C29" s="1">
        <v>45720</v>
      </c>
      <c r="D29" t="s">
        <v>55</v>
      </c>
      <c r="E29" t="s">
        <v>56</v>
      </c>
      <c r="F29">
        <v>432</v>
      </c>
      <c r="G29">
        <v>624</v>
      </c>
      <c r="H29">
        <v>123</v>
      </c>
      <c r="I29">
        <v>6912</v>
      </c>
      <c r="J29">
        <v>6259</v>
      </c>
      <c r="K29">
        <v>79</v>
      </c>
      <c r="L29" t="s">
        <v>25</v>
      </c>
      <c r="M29" t="s">
        <v>31</v>
      </c>
      <c r="N29" s="7">
        <f>(Post5[[#This Row],[Likes]]+Post5[[#This Row],[Shares]]+Post5[[#This Row],[Comments]])/Post5[[#This Row],[Impressions]]</f>
        <v>0.17057291666666666</v>
      </c>
      <c r="O29">
        <f>SUM(Post5[[#This Row],[Likes]],Post5[[#This Row],[Shares]],Post5[[#This Row],[Comments]])</f>
        <v>1179</v>
      </c>
    </row>
    <row r="30" spans="1:15" x14ac:dyDescent="0.25">
      <c r="A30" t="s">
        <v>71</v>
      </c>
      <c r="B30" t="s">
        <v>7</v>
      </c>
      <c r="C30" s="1">
        <v>45688</v>
      </c>
      <c r="D30" t="s">
        <v>40</v>
      </c>
      <c r="E30" t="s">
        <v>41</v>
      </c>
      <c r="F30">
        <v>2566</v>
      </c>
      <c r="G30">
        <v>118</v>
      </c>
      <c r="H30">
        <v>37</v>
      </c>
      <c r="I30">
        <v>12830</v>
      </c>
      <c r="J30">
        <v>12264</v>
      </c>
      <c r="K30">
        <v>221</v>
      </c>
      <c r="L30" t="s">
        <v>42</v>
      </c>
      <c r="M30" t="s">
        <v>38</v>
      </c>
      <c r="N30" s="7">
        <f>(Post5[[#This Row],[Likes]]+Post5[[#This Row],[Shares]]+Post5[[#This Row],[Comments]])/Post5[[#This Row],[Impressions]]</f>
        <v>0.21208106001558846</v>
      </c>
      <c r="O30">
        <f>SUM(Post5[[#This Row],[Likes]],Post5[[#This Row],[Shares]],Post5[[#This Row],[Comments]])</f>
        <v>2721</v>
      </c>
    </row>
    <row r="31" spans="1:15" x14ac:dyDescent="0.25">
      <c r="A31" t="s">
        <v>72</v>
      </c>
      <c r="B31" t="s">
        <v>7</v>
      </c>
      <c r="C31" s="1">
        <v>45713</v>
      </c>
      <c r="D31" t="s">
        <v>55</v>
      </c>
      <c r="E31" t="s">
        <v>56</v>
      </c>
      <c r="F31">
        <v>3095</v>
      </c>
      <c r="G31">
        <v>39</v>
      </c>
      <c r="H31">
        <v>78</v>
      </c>
      <c r="I31">
        <v>55710</v>
      </c>
      <c r="J31">
        <v>54808</v>
      </c>
      <c r="K31">
        <v>93</v>
      </c>
      <c r="L31" t="s">
        <v>25</v>
      </c>
      <c r="M31" t="s">
        <v>49</v>
      </c>
      <c r="N31" s="7">
        <f>(Post5[[#This Row],[Likes]]+Post5[[#This Row],[Shares]]+Post5[[#This Row],[Comments]])/Post5[[#This Row],[Impressions]]</f>
        <v>5.7655717106444085E-2</v>
      </c>
      <c r="O31">
        <f>SUM(Post5[[#This Row],[Likes]],Post5[[#This Row],[Shares]],Post5[[#This Row],[Comments]])</f>
        <v>3212</v>
      </c>
    </row>
    <row r="32" spans="1:15" x14ac:dyDescent="0.25">
      <c r="A32" t="s">
        <v>73</v>
      </c>
      <c r="B32" t="s">
        <v>7</v>
      </c>
      <c r="C32" s="1">
        <v>45642</v>
      </c>
      <c r="D32" t="s">
        <v>28</v>
      </c>
      <c r="E32" t="s">
        <v>29</v>
      </c>
      <c r="F32">
        <v>438</v>
      </c>
      <c r="G32">
        <v>153</v>
      </c>
      <c r="H32">
        <v>275</v>
      </c>
      <c r="I32">
        <v>3066</v>
      </c>
      <c r="J32">
        <v>2701</v>
      </c>
      <c r="K32">
        <v>282</v>
      </c>
      <c r="L32" t="s">
        <v>42</v>
      </c>
      <c r="M32" t="s">
        <v>49</v>
      </c>
      <c r="N32" s="7">
        <f>(Post5[[#This Row],[Likes]]+Post5[[#This Row],[Shares]]+Post5[[#This Row],[Comments]])/Post5[[#This Row],[Impressions]]</f>
        <v>0.28245270711024134</v>
      </c>
      <c r="O32">
        <f>SUM(Post5[[#This Row],[Likes]],Post5[[#This Row],[Shares]],Post5[[#This Row],[Comments]])</f>
        <v>866</v>
      </c>
    </row>
    <row r="33" spans="1:15" x14ac:dyDescent="0.25">
      <c r="A33" t="s">
        <v>74</v>
      </c>
      <c r="B33" t="s">
        <v>9</v>
      </c>
      <c r="C33" s="1">
        <v>45504</v>
      </c>
      <c r="D33" t="s">
        <v>40</v>
      </c>
      <c r="E33" t="s">
        <v>41</v>
      </c>
      <c r="F33">
        <v>2278</v>
      </c>
      <c r="G33">
        <v>10</v>
      </c>
      <c r="H33">
        <v>321</v>
      </c>
      <c r="I33">
        <v>13668</v>
      </c>
      <c r="J33">
        <v>12676</v>
      </c>
      <c r="K33">
        <v>275</v>
      </c>
      <c r="L33" t="s">
        <v>42</v>
      </c>
      <c r="M33" t="s">
        <v>49</v>
      </c>
      <c r="N33" s="7">
        <f>(Post5[[#This Row],[Likes]]+Post5[[#This Row],[Shares]]+Post5[[#This Row],[Comments]])/Post5[[#This Row],[Impressions]]</f>
        <v>0.19088381621305239</v>
      </c>
      <c r="O33">
        <f>SUM(Post5[[#This Row],[Likes]],Post5[[#This Row],[Shares]],Post5[[#This Row],[Comments]])</f>
        <v>2609</v>
      </c>
    </row>
    <row r="34" spans="1:15" x14ac:dyDescent="0.25">
      <c r="A34" t="s">
        <v>75</v>
      </c>
      <c r="B34" t="s">
        <v>8</v>
      </c>
      <c r="C34" s="1">
        <v>45525</v>
      </c>
      <c r="D34" t="s">
        <v>45</v>
      </c>
      <c r="E34" t="s">
        <v>46</v>
      </c>
      <c r="F34">
        <v>1407</v>
      </c>
      <c r="G34">
        <v>400</v>
      </c>
      <c r="H34">
        <v>351</v>
      </c>
      <c r="I34">
        <v>16884</v>
      </c>
      <c r="J34">
        <v>15954</v>
      </c>
      <c r="K34">
        <v>113</v>
      </c>
      <c r="L34" t="s">
        <v>30</v>
      </c>
      <c r="M34" t="s">
        <v>38</v>
      </c>
      <c r="N34" s="7">
        <f>(Post5[[#This Row],[Likes]]+Post5[[#This Row],[Shares]]+Post5[[#This Row],[Comments]])/Post5[[#This Row],[Impressions]]</f>
        <v>0.12781331438047855</v>
      </c>
      <c r="O34">
        <f>SUM(Post5[[#This Row],[Likes]],Post5[[#This Row],[Shares]],Post5[[#This Row],[Comments]])</f>
        <v>2158</v>
      </c>
    </row>
    <row r="35" spans="1:15" x14ac:dyDescent="0.25">
      <c r="A35" t="s">
        <v>76</v>
      </c>
      <c r="B35" t="s">
        <v>8</v>
      </c>
      <c r="C35" s="1">
        <v>45742</v>
      </c>
      <c r="D35" t="s">
        <v>28</v>
      </c>
      <c r="E35" t="s">
        <v>29</v>
      </c>
      <c r="F35">
        <v>1652</v>
      </c>
      <c r="G35">
        <v>89</v>
      </c>
      <c r="H35">
        <v>357</v>
      </c>
      <c r="I35">
        <v>29736</v>
      </c>
      <c r="J35">
        <v>28771</v>
      </c>
      <c r="K35">
        <v>215</v>
      </c>
      <c r="L35" t="s">
        <v>42</v>
      </c>
      <c r="M35" t="s">
        <v>31</v>
      </c>
      <c r="N35" s="7">
        <f>(Post5[[#This Row],[Likes]]+Post5[[#This Row],[Shares]]+Post5[[#This Row],[Comments]])/Post5[[#This Row],[Impressions]]</f>
        <v>7.055421038471886E-2</v>
      </c>
      <c r="O35">
        <f>SUM(Post5[[#This Row],[Likes]],Post5[[#This Row],[Shares]],Post5[[#This Row],[Comments]])</f>
        <v>2098</v>
      </c>
    </row>
    <row r="36" spans="1:15" x14ac:dyDescent="0.25">
      <c r="A36" t="s">
        <v>77</v>
      </c>
      <c r="B36" t="s">
        <v>7</v>
      </c>
      <c r="C36" s="1">
        <v>45626</v>
      </c>
      <c r="D36" t="s">
        <v>55</v>
      </c>
      <c r="E36" t="s">
        <v>56</v>
      </c>
      <c r="F36">
        <v>3775</v>
      </c>
      <c r="G36">
        <v>16</v>
      </c>
      <c r="H36">
        <v>239</v>
      </c>
      <c r="I36">
        <v>33975</v>
      </c>
      <c r="J36">
        <v>33310</v>
      </c>
      <c r="K36">
        <v>271</v>
      </c>
      <c r="L36" t="s">
        <v>37</v>
      </c>
      <c r="M36" t="s">
        <v>38</v>
      </c>
      <c r="N36" s="7">
        <f>(Post5[[#This Row],[Likes]]+Post5[[#This Row],[Shares]]+Post5[[#This Row],[Comments]])/Post5[[#This Row],[Impressions]]</f>
        <v>0.11861662987490802</v>
      </c>
      <c r="O36">
        <f>SUM(Post5[[#This Row],[Likes]],Post5[[#This Row],[Shares]],Post5[[#This Row],[Comments]])</f>
        <v>4030</v>
      </c>
    </row>
    <row r="37" spans="1:15" x14ac:dyDescent="0.25">
      <c r="A37" t="s">
        <v>78</v>
      </c>
      <c r="B37" t="s">
        <v>7</v>
      </c>
      <c r="C37" s="1">
        <v>45766</v>
      </c>
      <c r="D37" t="s">
        <v>34</v>
      </c>
      <c r="E37" t="s">
        <v>35</v>
      </c>
      <c r="F37">
        <v>4518</v>
      </c>
      <c r="G37">
        <v>285</v>
      </c>
      <c r="H37">
        <v>383</v>
      </c>
      <c r="I37">
        <v>67770</v>
      </c>
      <c r="J37">
        <v>67621</v>
      </c>
      <c r="K37">
        <v>31</v>
      </c>
      <c r="L37" t="s">
        <v>57</v>
      </c>
      <c r="M37" t="s">
        <v>31</v>
      </c>
      <c r="N37" s="7">
        <f>(Post5[[#This Row],[Likes]]+Post5[[#This Row],[Shares]]+Post5[[#This Row],[Comments]])/Post5[[#This Row],[Impressions]]</f>
        <v>7.6523535487678915E-2</v>
      </c>
      <c r="O37">
        <f>SUM(Post5[[#This Row],[Likes]],Post5[[#This Row],[Shares]],Post5[[#This Row],[Comments]])</f>
        <v>5186</v>
      </c>
    </row>
    <row r="38" spans="1:15" x14ac:dyDescent="0.25">
      <c r="A38" t="s">
        <v>79</v>
      </c>
      <c r="B38" t="s">
        <v>8</v>
      </c>
      <c r="C38" s="1">
        <v>45663</v>
      </c>
      <c r="D38" t="s">
        <v>40</v>
      </c>
      <c r="E38" t="s">
        <v>41</v>
      </c>
      <c r="F38">
        <v>3024</v>
      </c>
      <c r="G38">
        <v>925</v>
      </c>
      <c r="H38">
        <v>350</v>
      </c>
      <c r="I38">
        <v>24192</v>
      </c>
      <c r="J38">
        <v>23518</v>
      </c>
      <c r="K38">
        <v>36</v>
      </c>
      <c r="L38" t="s">
        <v>25</v>
      </c>
      <c r="M38" t="s">
        <v>38</v>
      </c>
      <c r="N38" s="7">
        <f>(Post5[[#This Row],[Likes]]+Post5[[#This Row],[Shares]]+Post5[[#This Row],[Comments]])/Post5[[#This Row],[Impressions]]</f>
        <v>0.17770337301587302</v>
      </c>
      <c r="O38">
        <f>SUM(Post5[[#This Row],[Likes]],Post5[[#This Row],[Shares]],Post5[[#This Row],[Comments]])</f>
        <v>4299</v>
      </c>
    </row>
    <row r="39" spans="1:15" x14ac:dyDescent="0.25">
      <c r="A39" t="s">
        <v>80</v>
      </c>
      <c r="B39" t="s">
        <v>10</v>
      </c>
      <c r="C39" s="1">
        <v>45705</v>
      </c>
      <c r="D39" t="s">
        <v>23</v>
      </c>
      <c r="E39" t="s">
        <v>24</v>
      </c>
      <c r="F39">
        <v>3138</v>
      </c>
      <c r="G39">
        <v>123</v>
      </c>
      <c r="H39">
        <v>291</v>
      </c>
      <c r="I39">
        <v>28242</v>
      </c>
      <c r="J39">
        <v>27550</v>
      </c>
      <c r="K39">
        <v>87</v>
      </c>
      <c r="L39" t="s">
        <v>57</v>
      </c>
      <c r="M39" t="s">
        <v>49</v>
      </c>
      <c r="N39" s="7">
        <f>(Post5[[#This Row],[Likes]]+Post5[[#This Row],[Shares]]+Post5[[#This Row],[Comments]])/Post5[[#This Row],[Impressions]]</f>
        <v>0.12577012959422137</v>
      </c>
      <c r="O39">
        <f>SUM(Post5[[#This Row],[Likes]],Post5[[#This Row],[Shares]],Post5[[#This Row],[Comments]])</f>
        <v>3552</v>
      </c>
    </row>
    <row r="40" spans="1:15" x14ac:dyDescent="0.25">
      <c r="A40" t="s">
        <v>81</v>
      </c>
      <c r="B40" t="s">
        <v>8</v>
      </c>
      <c r="C40" s="1">
        <v>45621</v>
      </c>
      <c r="D40" t="s">
        <v>45</v>
      </c>
      <c r="E40" t="s">
        <v>46</v>
      </c>
      <c r="F40">
        <v>3564</v>
      </c>
      <c r="G40">
        <v>629</v>
      </c>
      <c r="H40">
        <v>177</v>
      </c>
      <c r="I40">
        <v>60588</v>
      </c>
      <c r="J40">
        <v>59627</v>
      </c>
      <c r="K40">
        <v>92</v>
      </c>
      <c r="L40" t="s">
        <v>57</v>
      </c>
      <c r="M40" t="s">
        <v>38</v>
      </c>
      <c r="N40" s="7">
        <f>(Post5[[#This Row],[Likes]]+Post5[[#This Row],[Shares]]+Post5[[#This Row],[Comments]])/Post5[[#This Row],[Impressions]]</f>
        <v>7.2126493695121141E-2</v>
      </c>
      <c r="O40">
        <f>SUM(Post5[[#This Row],[Likes]],Post5[[#This Row],[Shares]],Post5[[#This Row],[Comments]])</f>
        <v>4370</v>
      </c>
    </row>
    <row r="41" spans="1:15" x14ac:dyDescent="0.25">
      <c r="A41" t="s">
        <v>82</v>
      </c>
      <c r="B41" t="s">
        <v>9</v>
      </c>
      <c r="C41" s="1">
        <v>45723</v>
      </c>
      <c r="D41" t="s">
        <v>45</v>
      </c>
      <c r="E41" t="s">
        <v>46</v>
      </c>
      <c r="F41">
        <v>4750</v>
      </c>
      <c r="G41">
        <v>151</v>
      </c>
      <c r="H41">
        <v>415</v>
      </c>
      <c r="I41">
        <v>38000</v>
      </c>
      <c r="J41">
        <v>37792</v>
      </c>
      <c r="K41">
        <v>299</v>
      </c>
      <c r="L41" t="s">
        <v>37</v>
      </c>
      <c r="M41" t="s">
        <v>31</v>
      </c>
      <c r="N41" s="7">
        <f>(Post5[[#This Row],[Likes]]+Post5[[#This Row],[Shares]]+Post5[[#This Row],[Comments]])/Post5[[#This Row],[Impressions]]</f>
        <v>0.13989473684210527</v>
      </c>
      <c r="O41">
        <f>SUM(Post5[[#This Row],[Likes]],Post5[[#This Row],[Shares]],Post5[[#This Row],[Comments]])</f>
        <v>5316</v>
      </c>
    </row>
    <row r="42" spans="1:15" x14ac:dyDescent="0.25">
      <c r="A42" t="s">
        <v>83</v>
      </c>
      <c r="B42" t="s">
        <v>7</v>
      </c>
      <c r="C42" s="1">
        <v>45724</v>
      </c>
      <c r="D42" t="s">
        <v>23</v>
      </c>
      <c r="E42" t="s">
        <v>24</v>
      </c>
      <c r="F42">
        <v>456</v>
      </c>
      <c r="G42">
        <v>629</v>
      </c>
      <c r="H42">
        <v>428</v>
      </c>
      <c r="I42">
        <v>8208</v>
      </c>
      <c r="J42">
        <v>7377</v>
      </c>
      <c r="K42">
        <v>205</v>
      </c>
      <c r="L42" t="s">
        <v>25</v>
      </c>
      <c r="M42" t="s">
        <v>38</v>
      </c>
      <c r="N42" s="7">
        <f>(Post5[[#This Row],[Likes]]+Post5[[#This Row],[Shares]]+Post5[[#This Row],[Comments]])/Post5[[#This Row],[Impressions]]</f>
        <v>0.18433235867446393</v>
      </c>
      <c r="O42">
        <f>SUM(Post5[[#This Row],[Likes]],Post5[[#This Row],[Shares]],Post5[[#This Row],[Comments]])</f>
        <v>1513</v>
      </c>
    </row>
    <row r="43" spans="1:15" x14ac:dyDescent="0.25">
      <c r="A43" t="s">
        <v>84</v>
      </c>
      <c r="B43" t="s">
        <v>10</v>
      </c>
      <c r="C43" s="1">
        <v>45721</v>
      </c>
      <c r="D43" t="s">
        <v>23</v>
      </c>
      <c r="E43" t="s">
        <v>24</v>
      </c>
      <c r="F43">
        <v>1543</v>
      </c>
      <c r="G43">
        <v>820</v>
      </c>
      <c r="H43">
        <v>333</v>
      </c>
      <c r="I43">
        <v>12344</v>
      </c>
      <c r="J43">
        <v>11496</v>
      </c>
      <c r="K43">
        <v>241</v>
      </c>
      <c r="L43" t="s">
        <v>37</v>
      </c>
      <c r="M43" t="s">
        <v>38</v>
      </c>
      <c r="N43" s="7">
        <f>(Post5[[#This Row],[Likes]]+Post5[[#This Row],[Shares]]+Post5[[#This Row],[Comments]])/Post5[[#This Row],[Impressions]]</f>
        <v>0.21840570317563188</v>
      </c>
      <c r="O43">
        <f>SUM(Post5[[#This Row],[Likes]],Post5[[#This Row],[Shares]],Post5[[#This Row],[Comments]])</f>
        <v>2696</v>
      </c>
    </row>
    <row r="44" spans="1:15" x14ac:dyDescent="0.25">
      <c r="A44" t="s">
        <v>85</v>
      </c>
      <c r="B44" t="s">
        <v>7</v>
      </c>
      <c r="C44" s="1">
        <v>45640</v>
      </c>
      <c r="D44" t="s">
        <v>40</v>
      </c>
      <c r="E44" t="s">
        <v>41</v>
      </c>
      <c r="F44">
        <v>2174</v>
      </c>
      <c r="G44">
        <v>658</v>
      </c>
      <c r="H44">
        <v>15</v>
      </c>
      <c r="I44">
        <v>13044</v>
      </c>
      <c r="J44">
        <v>12206</v>
      </c>
      <c r="K44">
        <v>137</v>
      </c>
      <c r="L44" t="s">
        <v>25</v>
      </c>
      <c r="M44" t="s">
        <v>49</v>
      </c>
      <c r="N44" s="7">
        <f>(Post5[[#This Row],[Likes]]+Post5[[#This Row],[Shares]]+Post5[[#This Row],[Comments]])/Post5[[#This Row],[Impressions]]</f>
        <v>0.21826126954921804</v>
      </c>
      <c r="O44">
        <f>SUM(Post5[[#This Row],[Likes]],Post5[[#This Row],[Shares]],Post5[[#This Row],[Comments]])</f>
        <v>2847</v>
      </c>
    </row>
    <row r="45" spans="1:15" x14ac:dyDescent="0.25">
      <c r="A45" t="s">
        <v>86</v>
      </c>
      <c r="B45" t="s">
        <v>9</v>
      </c>
      <c r="C45" s="1">
        <v>45718</v>
      </c>
      <c r="D45" t="s">
        <v>45</v>
      </c>
      <c r="E45" t="s">
        <v>46</v>
      </c>
      <c r="F45">
        <v>2358</v>
      </c>
      <c r="G45">
        <v>784</v>
      </c>
      <c r="H45">
        <v>344</v>
      </c>
      <c r="I45">
        <v>35370</v>
      </c>
      <c r="J45">
        <v>34475</v>
      </c>
      <c r="K45">
        <v>216</v>
      </c>
      <c r="L45" t="s">
        <v>25</v>
      </c>
      <c r="M45" t="s">
        <v>26</v>
      </c>
      <c r="N45" s="7">
        <f>(Post5[[#This Row],[Likes]]+Post5[[#This Row],[Shares]]+Post5[[#This Row],[Comments]])/Post5[[#This Row],[Impressions]]</f>
        <v>9.8558100084817649E-2</v>
      </c>
      <c r="O45">
        <f>SUM(Post5[[#This Row],[Likes]],Post5[[#This Row],[Shares]],Post5[[#This Row],[Comments]])</f>
        <v>3486</v>
      </c>
    </row>
    <row r="46" spans="1:15" x14ac:dyDescent="0.25">
      <c r="A46" t="s">
        <v>87</v>
      </c>
      <c r="B46" t="s">
        <v>8</v>
      </c>
      <c r="C46" s="1">
        <v>45597</v>
      </c>
      <c r="D46" t="s">
        <v>55</v>
      </c>
      <c r="E46" t="s">
        <v>56</v>
      </c>
      <c r="F46">
        <v>3371</v>
      </c>
      <c r="G46">
        <v>106</v>
      </c>
      <c r="H46">
        <v>327</v>
      </c>
      <c r="I46">
        <v>50565</v>
      </c>
      <c r="J46">
        <v>49816</v>
      </c>
      <c r="K46">
        <v>176</v>
      </c>
      <c r="L46" t="s">
        <v>57</v>
      </c>
      <c r="M46" t="s">
        <v>49</v>
      </c>
      <c r="N46" s="7">
        <f>(Post5[[#This Row],[Likes]]+Post5[[#This Row],[Shares]]+Post5[[#This Row],[Comments]])/Post5[[#This Row],[Impressions]]</f>
        <v>7.5229902106199939E-2</v>
      </c>
      <c r="O46">
        <f>SUM(Post5[[#This Row],[Likes]],Post5[[#This Row],[Shares]],Post5[[#This Row],[Comments]])</f>
        <v>3804</v>
      </c>
    </row>
    <row r="47" spans="1:15" x14ac:dyDescent="0.25">
      <c r="A47" t="s">
        <v>88</v>
      </c>
      <c r="B47" t="s">
        <v>9</v>
      </c>
      <c r="C47" s="1">
        <v>45779</v>
      </c>
      <c r="D47" t="s">
        <v>55</v>
      </c>
      <c r="E47" t="s">
        <v>56</v>
      </c>
      <c r="F47">
        <v>1108</v>
      </c>
      <c r="G47">
        <v>177</v>
      </c>
      <c r="H47">
        <v>212</v>
      </c>
      <c r="I47">
        <v>8864</v>
      </c>
      <c r="J47">
        <v>8710</v>
      </c>
      <c r="K47">
        <v>97</v>
      </c>
      <c r="L47" t="s">
        <v>30</v>
      </c>
      <c r="M47" t="s">
        <v>49</v>
      </c>
      <c r="N47" s="7">
        <f>(Post5[[#This Row],[Likes]]+Post5[[#This Row],[Shares]]+Post5[[#This Row],[Comments]])/Post5[[#This Row],[Impressions]]</f>
        <v>0.16888537906137185</v>
      </c>
      <c r="O47">
        <f>SUM(Post5[[#This Row],[Likes]],Post5[[#This Row],[Shares]],Post5[[#This Row],[Comments]])</f>
        <v>1497</v>
      </c>
    </row>
    <row r="48" spans="1:15" x14ac:dyDescent="0.25">
      <c r="A48" t="s">
        <v>89</v>
      </c>
      <c r="B48" t="s">
        <v>9</v>
      </c>
      <c r="C48" s="1">
        <v>45712</v>
      </c>
      <c r="D48" t="s">
        <v>40</v>
      </c>
      <c r="E48" t="s">
        <v>41</v>
      </c>
      <c r="F48">
        <v>2704</v>
      </c>
      <c r="G48">
        <v>752</v>
      </c>
      <c r="H48">
        <v>153</v>
      </c>
      <c r="I48">
        <v>21632</v>
      </c>
      <c r="J48">
        <v>20792</v>
      </c>
      <c r="K48">
        <v>127</v>
      </c>
      <c r="L48" t="s">
        <v>57</v>
      </c>
      <c r="M48" t="s">
        <v>26</v>
      </c>
      <c r="N48" s="7">
        <f>(Post5[[#This Row],[Likes]]+Post5[[#This Row],[Shares]]+Post5[[#This Row],[Comments]])/Post5[[#This Row],[Impressions]]</f>
        <v>0.16683616863905326</v>
      </c>
      <c r="O48">
        <f>SUM(Post5[[#This Row],[Likes]],Post5[[#This Row],[Shares]],Post5[[#This Row],[Comments]])</f>
        <v>3609</v>
      </c>
    </row>
    <row r="49" spans="1:15" x14ac:dyDescent="0.25">
      <c r="A49" t="s">
        <v>90</v>
      </c>
      <c r="B49" t="s">
        <v>9</v>
      </c>
      <c r="C49" s="1">
        <v>45727</v>
      </c>
      <c r="D49" t="s">
        <v>34</v>
      </c>
      <c r="E49" t="s">
        <v>35</v>
      </c>
      <c r="F49">
        <v>1950</v>
      </c>
      <c r="G49">
        <v>295</v>
      </c>
      <c r="H49">
        <v>478</v>
      </c>
      <c r="I49">
        <v>37050</v>
      </c>
      <c r="J49">
        <v>36272</v>
      </c>
      <c r="K49">
        <v>119</v>
      </c>
      <c r="L49" t="s">
        <v>30</v>
      </c>
      <c r="M49" t="s">
        <v>49</v>
      </c>
      <c r="N49" s="7">
        <f>(Post5[[#This Row],[Likes]]+Post5[[#This Row],[Shares]]+Post5[[#This Row],[Comments]])/Post5[[#This Row],[Impressions]]</f>
        <v>7.349527665317139E-2</v>
      </c>
      <c r="O49">
        <f>SUM(Post5[[#This Row],[Likes]],Post5[[#This Row],[Shares]],Post5[[#This Row],[Comments]])</f>
        <v>2723</v>
      </c>
    </row>
    <row r="50" spans="1:15" x14ac:dyDescent="0.25">
      <c r="A50" t="s">
        <v>91</v>
      </c>
      <c r="B50" t="s">
        <v>9</v>
      </c>
      <c r="C50" s="1">
        <v>45453</v>
      </c>
      <c r="D50" t="s">
        <v>34</v>
      </c>
      <c r="E50" t="s">
        <v>35</v>
      </c>
      <c r="F50">
        <v>2164</v>
      </c>
      <c r="G50">
        <v>549</v>
      </c>
      <c r="H50">
        <v>274</v>
      </c>
      <c r="I50">
        <v>28132</v>
      </c>
      <c r="J50">
        <v>27361</v>
      </c>
      <c r="K50">
        <v>177</v>
      </c>
      <c r="L50" t="s">
        <v>37</v>
      </c>
      <c r="M50" t="s">
        <v>26</v>
      </c>
      <c r="N50" s="7">
        <f>(Post5[[#This Row],[Likes]]+Post5[[#This Row],[Shares]]+Post5[[#This Row],[Comments]])/Post5[[#This Row],[Impressions]]</f>
        <v>0.10617801791554102</v>
      </c>
      <c r="O50">
        <f>SUM(Post5[[#This Row],[Likes]],Post5[[#This Row],[Shares]],Post5[[#This Row],[Comments]])</f>
        <v>2987</v>
      </c>
    </row>
    <row r="51" spans="1:15" x14ac:dyDescent="0.25">
      <c r="A51" t="s">
        <v>92</v>
      </c>
      <c r="B51" t="s">
        <v>10</v>
      </c>
      <c r="C51" s="1">
        <v>45476</v>
      </c>
      <c r="D51" t="s">
        <v>34</v>
      </c>
      <c r="E51" t="s">
        <v>35</v>
      </c>
      <c r="F51">
        <v>2754</v>
      </c>
      <c r="G51">
        <v>130</v>
      </c>
      <c r="H51">
        <v>90</v>
      </c>
      <c r="I51">
        <v>22032</v>
      </c>
      <c r="J51">
        <v>21288</v>
      </c>
      <c r="K51">
        <v>112</v>
      </c>
      <c r="L51" t="s">
        <v>30</v>
      </c>
      <c r="M51" t="s">
        <v>26</v>
      </c>
      <c r="N51" s="7">
        <f>(Post5[[#This Row],[Likes]]+Post5[[#This Row],[Shares]]+Post5[[#This Row],[Comments]])/Post5[[#This Row],[Impressions]]</f>
        <v>0.13498547567175018</v>
      </c>
      <c r="O51">
        <f>SUM(Post5[[#This Row],[Likes]],Post5[[#This Row],[Shares]],Post5[[#This Row],[Comments]])</f>
        <v>2974</v>
      </c>
    </row>
    <row r="52" spans="1:15" x14ac:dyDescent="0.25">
      <c r="A52" t="s">
        <v>93</v>
      </c>
      <c r="B52" t="s">
        <v>8</v>
      </c>
      <c r="C52" s="1">
        <v>45456</v>
      </c>
      <c r="D52" t="s">
        <v>40</v>
      </c>
      <c r="E52" t="s">
        <v>41</v>
      </c>
      <c r="F52">
        <v>2200</v>
      </c>
      <c r="G52">
        <v>504</v>
      </c>
      <c r="H52">
        <v>239</v>
      </c>
      <c r="I52">
        <v>37400</v>
      </c>
      <c r="J52">
        <v>36938</v>
      </c>
      <c r="K52">
        <v>225</v>
      </c>
      <c r="L52" t="s">
        <v>25</v>
      </c>
      <c r="M52" t="s">
        <v>38</v>
      </c>
      <c r="N52" s="7">
        <f>(Post5[[#This Row],[Likes]]+Post5[[#This Row],[Shares]]+Post5[[#This Row],[Comments]])/Post5[[#This Row],[Impressions]]</f>
        <v>7.8689839572192513E-2</v>
      </c>
      <c r="O52">
        <f>SUM(Post5[[#This Row],[Likes]],Post5[[#This Row],[Shares]],Post5[[#This Row],[Comments]])</f>
        <v>2943</v>
      </c>
    </row>
    <row r="53" spans="1:15" x14ac:dyDescent="0.25">
      <c r="A53" t="s">
        <v>94</v>
      </c>
      <c r="B53" t="s">
        <v>8</v>
      </c>
      <c r="C53" s="1">
        <v>45660</v>
      </c>
      <c r="D53" t="s">
        <v>45</v>
      </c>
      <c r="E53" t="s">
        <v>46</v>
      </c>
      <c r="F53">
        <v>947</v>
      </c>
      <c r="G53">
        <v>338</v>
      </c>
      <c r="H53">
        <v>350</v>
      </c>
      <c r="I53">
        <v>10417</v>
      </c>
      <c r="J53">
        <v>9730</v>
      </c>
      <c r="K53">
        <v>34</v>
      </c>
      <c r="L53" t="s">
        <v>30</v>
      </c>
      <c r="M53" t="s">
        <v>38</v>
      </c>
      <c r="N53" s="7">
        <f>(Post5[[#This Row],[Likes]]+Post5[[#This Row],[Shares]]+Post5[[#This Row],[Comments]])/Post5[[#This Row],[Impressions]]</f>
        <v>0.1569549774407219</v>
      </c>
      <c r="O53">
        <f>SUM(Post5[[#This Row],[Likes]],Post5[[#This Row],[Shares]],Post5[[#This Row],[Comments]])</f>
        <v>1635</v>
      </c>
    </row>
    <row r="54" spans="1:15" x14ac:dyDescent="0.25">
      <c r="A54" t="s">
        <v>95</v>
      </c>
      <c r="B54" t="s">
        <v>10</v>
      </c>
      <c r="C54" s="1">
        <v>45712</v>
      </c>
      <c r="D54" t="s">
        <v>40</v>
      </c>
      <c r="E54" t="s">
        <v>41</v>
      </c>
      <c r="F54">
        <v>804</v>
      </c>
      <c r="G54">
        <v>639</v>
      </c>
      <c r="H54">
        <v>43</v>
      </c>
      <c r="I54">
        <v>4020</v>
      </c>
      <c r="J54">
        <v>3144</v>
      </c>
      <c r="K54">
        <v>11</v>
      </c>
      <c r="L54" t="s">
        <v>37</v>
      </c>
      <c r="M54" t="s">
        <v>49</v>
      </c>
      <c r="N54" s="7">
        <f>(Post5[[#This Row],[Likes]]+Post5[[#This Row],[Shares]]+Post5[[#This Row],[Comments]])/Post5[[#This Row],[Impressions]]</f>
        <v>0.36965174129353234</v>
      </c>
      <c r="O54">
        <f>SUM(Post5[[#This Row],[Likes]],Post5[[#This Row],[Shares]],Post5[[#This Row],[Comments]])</f>
        <v>1486</v>
      </c>
    </row>
    <row r="55" spans="1:15" x14ac:dyDescent="0.25">
      <c r="A55" t="s">
        <v>96</v>
      </c>
      <c r="B55" t="s">
        <v>10</v>
      </c>
      <c r="C55" s="1">
        <v>45729</v>
      </c>
      <c r="D55" t="s">
        <v>40</v>
      </c>
      <c r="E55" t="s">
        <v>41</v>
      </c>
      <c r="F55">
        <v>1686</v>
      </c>
      <c r="G55">
        <v>904</v>
      </c>
      <c r="H55">
        <v>472</v>
      </c>
      <c r="I55">
        <v>18546</v>
      </c>
      <c r="J55">
        <v>18171</v>
      </c>
      <c r="K55">
        <v>52</v>
      </c>
      <c r="L55" t="s">
        <v>30</v>
      </c>
      <c r="M55" t="s">
        <v>31</v>
      </c>
      <c r="N55" s="7">
        <f>(Post5[[#This Row],[Likes]]+Post5[[#This Row],[Shares]]+Post5[[#This Row],[Comments]])/Post5[[#This Row],[Impressions]]</f>
        <v>0.16510298716704411</v>
      </c>
      <c r="O55">
        <f>SUM(Post5[[#This Row],[Likes]],Post5[[#This Row],[Shares]],Post5[[#This Row],[Comments]])</f>
        <v>3062</v>
      </c>
    </row>
    <row r="56" spans="1:15" x14ac:dyDescent="0.25">
      <c r="A56" t="s">
        <v>97</v>
      </c>
      <c r="B56" t="s">
        <v>8</v>
      </c>
      <c r="C56" s="1">
        <v>45460</v>
      </c>
      <c r="D56" t="s">
        <v>45</v>
      </c>
      <c r="E56" t="s">
        <v>46</v>
      </c>
      <c r="F56">
        <v>1226</v>
      </c>
      <c r="G56">
        <v>119</v>
      </c>
      <c r="H56">
        <v>7</v>
      </c>
      <c r="I56">
        <v>14712</v>
      </c>
      <c r="J56">
        <v>14049</v>
      </c>
      <c r="K56">
        <v>123</v>
      </c>
      <c r="L56" t="s">
        <v>25</v>
      </c>
      <c r="M56" t="s">
        <v>49</v>
      </c>
      <c r="N56" s="7">
        <f>(Post5[[#This Row],[Likes]]+Post5[[#This Row],[Shares]]+Post5[[#This Row],[Comments]])/Post5[[#This Row],[Impressions]]</f>
        <v>9.1897770527460579E-2</v>
      </c>
      <c r="O56">
        <f>SUM(Post5[[#This Row],[Likes]],Post5[[#This Row],[Shares]],Post5[[#This Row],[Comments]])</f>
        <v>1352</v>
      </c>
    </row>
    <row r="57" spans="1:15" x14ac:dyDescent="0.25">
      <c r="A57" t="s">
        <v>98</v>
      </c>
      <c r="B57" t="s">
        <v>8</v>
      </c>
      <c r="C57" s="1">
        <v>45644</v>
      </c>
      <c r="D57" t="s">
        <v>40</v>
      </c>
      <c r="E57" t="s">
        <v>41</v>
      </c>
      <c r="F57">
        <v>2946</v>
      </c>
      <c r="G57">
        <v>498</v>
      </c>
      <c r="H57">
        <v>367</v>
      </c>
      <c r="I57">
        <v>29460</v>
      </c>
      <c r="J57">
        <v>28527</v>
      </c>
      <c r="K57">
        <v>60</v>
      </c>
      <c r="L57" t="s">
        <v>37</v>
      </c>
      <c r="M57" t="s">
        <v>31</v>
      </c>
      <c r="N57" s="7">
        <f>(Post5[[#This Row],[Likes]]+Post5[[#This Row],[Shares]]+Post5[[#This Row],[Comments]])/Post5[[#This Row],[Impressions]]</f>
        <v>0.12936184657162253</v>
      </c>
      <c r="O57">
        <f>SUM(Post5[[#This Row],[Likes]],Post5[[#This Row],[Shares]],Post5[[#This Row],[Comments]])</f>
        <v>3811</v>
      </c>
    </row>
    <row r="58" spans="1:15" x14ac:dyDescent="0.25">
      <c r="A58" t="s">
        <v>99</v>
      </c>
      <c r="B58" t="s">
        <v>9</v>
      </c>
      <c r="C58" s="1">
        <v>45586</v>
      </c>
      <c r="D58" t="s">
        <v>55</v>
      </c>
      <c r="E58" t="s">
        <v>56</v>
      </c>
      <c r="F58">
        <v>2825</v>
      </c>
      <c r="G58">
        <v>535</v>
      </c>
      <c r="H58">
        <v>295</v>
      </c>
      <c r="I58">
        <v>45200</v>
      </c>
      <c r="J58">
        <v>44739</v>
      </c>
      <c r="K58">
        <v>169</v>
      </c>
      <c r="L58" t="s">
        <v>37</v>
      </c>
      <c r="M58" t="s">
        <v>31</v>
      </c>
      <c r="N58" s="7">
        <f>(Post5[[#This Row],[Likes]]+Post5[[#This Row],[Shares]]+Post5[[#This Row],[Comments]])/Post5[[#This Row],[Impressions]]</f>
        <v>8.0862831858407078E-2</v>
      </c>
      <c r="O58">
        <f>SUM(Post5[[#This Row],[Likes]],Post5[[#This Row],[Shares]],Post5[[#This Row],[Comments]])</f>
        <v>3655</v>
      </c>
    </row>
    <row r="59" spans="1:15" x14ac:dyDescent="0.25">
      <c r="A59" t="s">
        <v>100</v>
      </c>
      <c r="B59" t="s">
        <v>7</v>
      </c>
      <c r="C59" s="1">
        <v>45762</v>
      </c>
      <c r="D59" t="s">
        <v>23</v>
      </c>
      <c r="E59" t="s">
        <v>24</v>
      </c>
      <c r="F59">
        <v>103</v>
      </c>
      <c r="G59">
        <v>770</v>
      </c>
      <c r="H59">
        <v>19</v>
      </c>
      <c r="I59">
        <v>1030</v>
      </c>
      <c r="J59">
        <v>410</v>
      </c>
      <c r="K59">
        <v>262</v>
      </c>
      <c r="L59" t="s">
        <v>25</v>
      </c>
      <c r="M59" t="s">
        <v>38</v>
      </c>
      <c r="N59" s="7">
        <f>(Post5[[#This Row],[Likes]]+Post5[[#This Row],[Shares]]+Post5[[#This Row],[Comments]])/Post5[[#This Row],[Impressions]]</f>
        <v>0.86601941747572819</v>
      </c>
      <c r="O59">
        <f>SUM(Post5[[#This Row],[Likes]],Post5[[#This Row],[Shares]],Post5[[#This Row],[Comments]])</f>
        <v>892</v>
      </c>
    </row>
    <row r="60" spans="1:15" x14ac:dyDescent="0.25">
      <c r="A60" t="s">
        <v>101</v>
      </c>
      <c r="B60" t="s">
        <v>7</v>
      </c>
      <c r="C60" s="1">
        <v>45465</v>
      </c>
      <c r="D60" t="s">
        <v>28</v>
      </c>
      <c r="E60" t="s">
        <v>29</v>
      </c>
      <c r="F60">
        <v>2180</v>
      </c>
      <c r="G60">
        <v>263</v>
      </c>
      <c r="H60">
        <v>387</v>
      </c>
      <c r="I60">
        <v>30520</v>
      </c>
      <c r="J60">
        <v>30059</v>
      </c>
      <c r="K60">
        <v>174</v>
      </c>
      <c r="L60" t="s">
        <v>57</v>
      </c>
      <c r="M60" t="s">
        <v>26</v>
      </c>
      <c r="N60" s="7">
        <f>(Post5[[#This Row],[Likes]]+Post5[[#This Row],[Shares]]+Post5[[#This Row],[Comments]])/Post5[[#This Row],[Impressions]]</f>
        <v>9.2726081258191345E-2</v>
      </c>
      <c r="O60">
        <f>SUM(Post5[[#This Row],[Likes]],Post5[[#This Row],[Shares]],Post5[[#This Row],[Comments]])</f>
        <v>2830</v>
      </c>
    </row>
    <row r="61" spans="1:15" x14ac:dyDescent="0.25">
      <c r="A61" t="s">
        <v>102</v>
      </c>
      <c r="B61" t="s">
        <v>7</v>
      </c>
      <c r="C61" s="1">
        <v>45685</v>
      </c>
      <c r="D61" t="s">
        <v>55</v>
      </c>
      <c r="E61" t="s">
        <v>56</v>
      </c>
      <c r="F61">
        <v>904</v>
      </c>
      <c r="G61">
        <v>973</v>
      </c>
      <c r="H61">
        <v>63</v>
      </c>
      <c r="I61">
        <v>11752</v>
      </c>
      <c r="J61">
        <v>11580</v>
      </c>
      <c r="K61">
        <v>84</v>
      </c>
      <c r="L61" t="s">
        <v>37</v>
      </c>
      <c r="M61" t="s">
        <v>26</v>
      </c>
      <c r="N61" s="7">
        <f>(Post5[[#This Row],[Likes]]+Post5[[#This Row],[Shares]]+Post5[[#This Row],[Comments]])/Post5[[#This Row],[Impressions]]</f>
        <v>0.1650782845473111</v>
      </c>
      <c r="O61">
        <f>SUM(Post5[[#This Row],[Likes]],Post5[[#This Row],[Shares]],Post5[[#This Row],[Comments]])</f>
        <v>1940</v>
      </c>
    </row>
    <row r="62" spans="1:15" x14ac:dyDescent="0.25">
      <c r="A62" t="s">
        <v>103</v>
      </c>
      <c r="B62" t="s">
        <v>9</v>
      </c>
      <c r="C62" s="1">
        <v>45540</v>
      </c>
      <c r="D62" t="s">
        <v>55</v>
      </c>
      <c r="E62" t="s">
        <v>56</v>
      </c>
      <c r="F62">
        <v>4886</v>
      </c>
      <c r="G62">
        <v>983</v>
      </c>
      <c r="H62">
        <v>409</v>
      </c>
      <c r="I62">
        <v>43974</v>
      </c>
      <c r="J62">
        <v>43239</v>
      </c>
      <c r="K62">
        <v>65</v>
      </c>
      <c r="L62" t="s">
        <v>30</v>
      </c>
      <c r="M62" t="s">
        <v>26</v>
      </c>
      <c r="N62" s="7">
        <f>(Post5[[#This Row],[Likes]]+Post5[[#This Row],[Shares]]+Post5[[#This Row],[Comments]])/Post5[[#This Row],[Impressions]]</f>
        <v>0.14276618001546368</v>
      </c>
      <c r="O62">
        <f>SUM(Post5[[#This Row],[Likes]],Post5[[#This Row],[Shares]],Post5[[#This Row],[Comments]])</f>
        <v>6278</v>
      </c>
    </row>
    <row r="63" spans="1:15" x14ac:dyDescent="0.25">
      <c r="A63" t="s">
        <v>104</v>
      </c>
      <c r="B63" t="s">
        <v>9</v>
      </c>
      <c r="C63" s="1">
        <v>45618</v>
      </c>
      <c r="D63" t="s">
        <v>40</v>
      </c>
      <c r="E63" t="s">
        <v>41</v>
      </c>
      <c r="F63">
        <v>53</v>
      </c>
      <c r="G63">
        <v>81</v>
      </c>
      <c r="H63">
        <v>379</v>
      </c>
      <c r="I63">
        <v>954</v>
      </c>
      <c r="J63">
        <v>7</v>
      </c>
      <c r="K63">
        <v>148</v>
      </c>
      <c r="L63" t="s">
        <v>57</v>
      </c>
      <c r="M63" t="s">
        <v>38</v>
      </c>
      <c r="N63" s="7">
        <f>(Post5[[#This Row],[Likes]]+Post5[[#This Row],[Shares]]+Post5[[#This Row],[Comments]])/Post5[[#This Row],[Impressions]]</f>
        <v>0.53773584905660377</v>
      </c>
      <c r="O63">
        <f>SUM(Post5[[#This Row],[Likes]],Post5[[#This Row],[Shares]],Post5[[#This Row],[Comments]])</f>
        <v>513</v>
      </c>
    </row>
    <row r="64" spans="1:15" x14ac:dyDescent="0.25">
      <c r="A64" t="s">
        <v>105</v>
      </c>
      <c r="B64" t="s">
        <v>9</v>
      </c>
      <c r="C64" s="1">
        <v>45504</v>
      </c>
      <c r="D64" t="s">
        <v>40</v>
      </c>
      <c r="E64" t="s">
        <v>41</v>
      </c>
      <c r="F64">
        <v>4507</v>
      </c>
      <c r="G64">
        <v>217</v>
      </c>
      <c r="H64">
        <v>13</v>
      </c>
      <c r="I64">
        <v>90140</v>
      </c>
      <c r="J64">
        <v>89591</v>
      </c>
      <c r="K64">
        <v>125</v>
      </c>
      <c r="L64" t="s">
        <v>25</v>
      </c>
      <c r="M64" t="s">
        <v>26</v>
      </c>
      <c r="N64" s="7">
        <f>(Post5[[#This Row],[Likes]]+Post5[[#This Row],[Shares]]+Post5[[#This Row],[Comments]])/Post5[[#This Row],[Impressions]]</f>
        <v>5.2551586421122697E-2</v>
      </c>
      <c r="O64">
        <f>SUM(Post5[[#This Row],[Likes]],Post5[[#This Row],[Shares]],Post5[[#This Row],[Comments]])</f>
        <v>4737</v>
      </c>
    </row>
    <row r="65" spans="1:15" x14ac:dyDescent="0.25">
      <c r="A65" t="s">
        <v>106</v>
      </c>
      <c r="B65" t="s">
        <v>8</v>
      </c>
      <c r="C65" s="1">
        <v>45521</v>
      </c>
      <c r="D65" t="s">
        <v>45</v>
      </c>
      <c r="E65" t="s">
        <v>46</v>
      </c>
      <c r="F65">
        <v>2878</v>
      </c>
      <c r="G65">
        <v>248</v>
      </c>
      <c r="H65">
        <v>416</v>
      </c>
      <c r="I65">
        <v>43170</v>
      </c>
      <c r="J65">
        <v>42667</v>
      </c>
      <c r="K65">
        <v>75</v>
      </c>
      <c r="L65" t="s">
        <v>57</v>
      </c>
      <c r="M65" t="s">
        <v>31</v>
      </c>
      <c r="N65" s="7">
        <f>(Post5[[#This Row],[Likes]]+Post5[[#This Row],[Shares]]+Post5[[#This Row],[Comments]])/Post5[[#This Row],[Impressions]]</f>
        <v>8.2047718322909427E-2</v>
      </c>
      <c r="O65">
        <f>SUM(Post5[[#This Row],[Likes]],Post5[[#This Row],[Shares]],Post5[[#This Row],[Comments]])</f>
        <v>3542</v>
      </c>
    </row>
    <row r="66" spans="1:15" x14ac:dyDescent="0.25">
      <c r="A66" t="s">
        <v>107</v>
      </c>
      <c r="B66" t="s">
        <v>7</v>
      </c>
      <c r="C66" s="1">
        <v>45744</v>
      </c>
      <c r="D66" t="s">
        <v>34</v>
      </c>
      <c r="E66" t="s">
        <v>35</v>
      </c>
      <c r="F66">
        <v>1881</v>
      </c>
      <c r="G66">
        <v>501</v>
      </c>
      <c r="H66">
        <v>99</v>
      </c>
      <c r="I66">
        <v>20691</v>
      </c>
      <c r="J66">
        <v>19987</v>
      </c>
      <c r="K66">
        <v>289</v>
      </c>
      <c r="L66" t="s">
        <v>57</v>
      </c>
      <c r="M66" t="s">
        <v>31</v>
      </c>
      <c r="N66" s="7">
        <f>(Post5[[#This Row],[Likes]]+Post5[[#This Row],[Shares]]+Post5[[#This Row],[Comments]])/Post5[[#This Row],[Impressions]]</f>
        <v>0.11990720603160794</v>
      </c>
      <c r="O66">
        <f>SUM(Post5[[#This Row],[Likes]],Post5[[#This Row],[Shares]],Post5[[#This Row],[Comments]])</f>
        <v>2481</v>
      </c>
    </row>
    <row r="67" spans="1:15" x14ac:dyDescent="0.25">
      <c r="A67" t="s">
        <v>108</v>
      </c>
      <c r="B67" t="s">
        <v>9</v>
      </c>
      <c r="C67" s="1">
        <v>45499</v>
      </c>
      <c r="D67" t="s">
        <v>40</v>
      </c>
      <c r="E67" t="s">
        <v>41</v>
      </c>
      <c r="F67">
        <v>432</v>
      </c>
      <c r="G67">
        <v>171</v>
      </c>
      <c r="H67">
        <v>280</v>
      </c>
      <c r="I67">
        <v>3024</v>
      </c>
      <c r="J67">
        <v>2285</v>
      </c>
      <c r="K67">
        <v>184</v>
      </c>
      <c r="L67" t="s">
        <v>30</v>
      </c>
      <c r="M67" t="s">
        <v>38</v>
      </c>
      <c r="N67" s="7">
        <f>(Post5[[#This Row],[Likes]]+Post5[[#This Row],[Shares]]+Post5[[#This Row],[Comments]])/Post5[[#This Row],[Impressions]]</f>
        <v>0.29199735449735448</v>
      </c>
      <c r="O67">
        <f>SUM(Post5[[#This Row],[Likes]],Post5[[#This Row],[Shares]],Post5[[#This Row],[Comments]])</f>
        <v>883</v>
      </c>
    </row>
    <row r="68" spans="1:15" x14ac:dyDescent="0.25">
      <c r="A68" t="s">
        <v>109</v>
      </c>
      <c r="B68" t="s">
        <v>8</v>
      </c>
      <c r="C68" s="1">
        <v>45745</v>
      </c>
      <c r="D68" t="s">
        <v>40</v>
      </c>
      <c r="E68" t="s">
        <v>41</v>
      </c>
      <c r="F68">
        <v>4712</v>
      </c>
      <c r="G68">
        <v>568</v>
      </c>
      <c r="H68">
        <v>127</v>
      </c>
      <c r="I68">
        <v>84816</v>
      </c>
      <c r="J68">
        <v>84691</v>
      </c>
      <c r="K68">
        <v>100</v>
      </c>
      <c r="L68" t="s">
        <v>57</v>
      </c>
      <c r="M68" t="s">
        <v>26</v>
      </c>
      <c r="N68" s="7">
        <f>(Post5[[#This Row],[Likes]]+Post5[[#This Row],[Shares]]+Post5[[#This Row],[Comments]])/Post5[[#This Row],[Impressions]]</f>
        <v>6.3749764195434822E-2</v>
      </c>
      <c r="O68">
        <f>SUM(Post5[[#This Row],[Likes]],Post5[[#This Row],[Shares]],Post5[[#This Row],[Comments]])</f>
        <v>5407</v>
      </c>
    </row>
    <row r="69" spans="1:15" x14ac:dyDescent="0.25">
      <c r="A69" t="s">
        <v>110</v>
      </c>
      <c r="B69" t="s">
        <v>7</v>
      </c>
      <c r="C69" s="1">
        <v>45634</v>
      </c>
      <c r="D69" t="s">
        <v>34</v>
      </c>
      <c r="E69" t="s">
        <v>35</v>
      </c>
      <c r="F69">
        <v>2610</v>
      </c>
      <c r="G69">
        <v>126</v>
      </c>
      <c r="H69">
        <v>288</v>
      </c>
      <c r="I69">
        <v>15660</v>
      </c>
      <c r="J69">
        <v>15145</v>
      </c>
      <c r="K69">
        <v>73</v>
      </c>
      <c r="L69" t="s">
        <v>30</v>
      </c>
      <c r="M69" t="s">
        <v>26</v>
      </c>
      <c r="N69" s="7">
        <f>(Post5[[#This Row],[Likes]]+Post5[[#This Row],[Shares]]+Post5[[#This Row],[Comments]])/Post5[[#This Row],[Impressions]]</f>
        <v>0.19310344827586207</v>
      </c>
      <c r="O69">
        <f>SUM(Post5[[#This Row],[Likes]],Post5[[#This Row],[Shares]],Post5[[#This Row],[Comments]])</f>
        <v>3024</v>
      </c>
    </row>
    <row r="70" spans="1:15" x14ac:dyDescent="0.25">
      <c r="A70" t="s">
        <v>111</v>
      </c>
      <c r="B70" t="s">
        <v>9</v>
      </c>
      <c r="C70" s="1">
        <v>45724</v>
      </c>
      <c r="D70" t="s">
        <v>28</v>
      </c>
      <c r="E70" t="s">
        <v>29</v>
      </c>
      <c r="F70">
        <v>1292</v>
      </c>
      <c r="G70">
        <v>626</v>
      </c>
      <c r="H70">
        <v>496</v>
      </c>
      <c r="I70">
        <v>25840</v>
      </c>
      <c r="J70">
        <v>24916</v>
      </c>
      <c r="K70">
        <v>149</v>
      </c>
      <c r="L70" t="s">
        <v>37</v>
      </c>
      <c r="M70" t="s">
        <v>49</v>
      </c>
      <c r="N70" s="7">
        <f>(Post5[[#This Row],[Likes]]+Post5[[#This Row],[Shares]]+Post5[[#This Row],[Comments]])/Post5[[#This Row],[Impressions]]</f>
        <v>9.3421052631578946E-2</v>
      </c>
      <c r="O70">
        <f>SUM(Post5[[#This Row],[Likes]],Post5[[#This Row],[Shares]],Post5[[#This Row],[Comments]])</f>
        <v>2414</v>
      </c>
    </row>
    <row r="71" spans="1:15" x14ac:dyDescent="0.25">
      <c r="A71" t="s">
        <v>112</v>
      </c>
      <c r="B71" t="s">
        <v>8</v>
      </c>
      <c r="C71" s="1">
        <v>45749</v>
      </c>
      <c r="D71" t="s">
        <v>55</v>
      </c>
      <c r="E71" t="s">
        <v>56</v>
      </c>
      <c r="F71">
        <v>199</v>
      </c>
      <c r="G71">
        <v>772</v>
      </c>
      <c r="H71">
        <v>400</v>
      </c>
      <c r="I71">
        <v>3582</v>
      </c>
      <c r="J71">
        <v>2988</v>
      </c>
      <c r="K71">
        <v>43</v>
      </c>
      <c r="L71" t="s">
        <v>42</v>
      </c>
      <c r="M71" t="s">
        <v>26</v>
      </c>
      <c r="N71" s="7">
        <f>(Post5[[#This Row],[Likes]]+Post5[[#This Row],[Shares]]+Post5[[#This Row],[Comments]])/Post5[[#This Row],[Impressions]]</f>
        <v>0.38274706867671693</v>
      </c>
      <c r="O71">
        <f>SUM(Post5[[#This Row],[Likes]],Post5[[#This Row],[Shares]],Post5[[#This Row],[Comments]])</f>
        <v>1371</v>
      </c>
    </row>
    <row r="72" spans="1:15" x14ac:dyDescent="0.25">
      <c r="A72" t="s">
        <v>113</v>
      </c>
      <c r="B72" t="s">
        <v>10</v>
      </c>
      <c r="C72" s="1">
        <v>45537</v>
      </c>
      <c r="D72" t="s">
        <v>40</v>
      </c>
      <c r="E72" t="s">
        <v>41</v>
      </c>
      <c r="F72">
        <v>2551</v>
      </c>
      <c r="G72">
        <v>915</v>
      </c>
      <c r="H72">
        <v>205</v>
      </c>
      <c r="I72">
        <v>30612</v>
      </c>
      <c r="J72">
        <v>30360</v>
      </c>
      <c r="K72">
        <v>227</v>
      </c>
      <c r="L72" t="s">
        <v>25</v>
      </c>
      <c r="M72" t="s">
        <v>31</v>
      </c>
      <c r="N72" s="7">
        <f>(Post5[[#This Row],[Likes]]+Post5[[#This Row],[Shares]]+Post5[[#This Row],[Comments]])/Post5[[#This Row],[Impressions]]</f>
        <v>0.1199202926956749</v>
      </c>
      <c r="O72">
        <f>SUM(Post5[[#This Row],[Likes]],Post5[[#This Row],[Shares]],Post5[[#This Row],[Comments]])</f>
        <v>3671</v>
      </c>
    </row>
    <row r="73" spans="1:15" x14ac:dyDescent="0.25">
      <c r="A73" t="s">
        <v>114</v>
      </c>
      <c r="B73" t="s">
        <v>10</v>
      </c>
      <c r="C73" s="1">
        <v>45719</v>
      </c>
      <c r="D73" t="s">
        <v>23</v>
      </c>
      <c r="E73" t="s">
        <v>24</v>
      </c>
      <c r="F73">
        <v>296</v>
      </c>
      <c r="G73">
        <v>60</v>
      </c>
      <c r="H73">
        <v>141</v>
      </c>
      <c r="I73">
        <v>5624</v>
      </c>
      <c r="J73">
        <v>5239</v>
      </c>
      <c r="K73">
        <v>88</v>
      </c>
      <c r="L73" t="s">
        <v>42</v>
      </c>
      <c r="M73" t="s">
        <v>49</v>
      </c>
      <c r="N73" s="7">
        <f>(Post5[[#This Row],[Likes]]+Post5[[#This Row],[Shares]]+Post5[[#This Row],[Comments]])/Post5[[#This Row],[Impressions]]</f>
        <v>8.837126600284495E-2</v>
      </c>
      <c r="O73">
        <f>SUM(Post5[[#This Row],[Likes]],Post5[[#This Row],[Shares]],Post5[[#This Row],[Comments]])</f>
        <v>497</v>
      </c>
    </row>
    <row r="74" spans="1:15" x14ac:dyDescent="0.25">
      <c r="A74" t="s">
        <v>115</v>
      </c>
      <c r="B74" t="s">
        <v>8</v>
      </c>
      <c r="C74" s="1">
        <v>45583</v>
      </c>
      <c r="D74" t="s">
        <v>34</v>
      </c>
      <c r="E74" t="s">
        <v>35</v>
      </c>
      <c r="F74">
        <v>4126</v>
      </c>
      <c r="G74">
        <v>426</v>
      </c>
      <c r="H74">
        <v>486</v>
      </c>
      <c r="I74">
        <v>78394</v>
      </c>
      <c r="J74">
        <v>77798</v>
      </c>
      <c r="K74">
        <v>88</v>
      </c>
      <c r="L74" t="s">
        <v>30</v>
      </c>
      <c r="M74" t="s">
        <v>26</v>
      </c>
      <c r="N74" s="7">
        <f>(Post5[[#This Row],[Likes]]+Post5[[#This Row],[Shares]]+Post5[[#This Row],[Comments]])/Post5[[#This Row],[Impressions]]</f>
        <v>6.4265122330790625E-2</v>
      </c>
      <c r="O74">
        <f>SUM(Post5[[#This Row],[Likes]],Post5[[#This Row],[Shares]],Post5[[#This Row],[Comments]])</f>
        <v>5038</v>
      </c>
    </row>
    <row r="75" spans="1:15" x14ac:dyDescent="0.25">
      <c r="A75" t="s">
        <v>116</v>
      </c>
      <c r="B75" t="s">
        <v>10</v>
      </c>
      <c r="C75" s="1">
        <v>45593</v>
      </c>
      <c r="D75" t="s">
        <v>23</v>
      </c>
      <c r="E75" t="s">
        <v>24</v>
      </c>
      <c r="F75">
        <v>1855</v>
      </c>
      <c r="G75">
        <v>200</v>
      </c>
      <c r="H75">
        <v>174</v>
      </c>
      <c r="I75">
        <v>16695</v>
      </c>
      <c r="J75">
        <v>16330</v>
      </c>
      <c r="K75">
        <v>123</v>
      </c>
      <c r="L75" t="s">
        <v>30</v>
      </c>
      <c r="M75" t="s">
        <v>38</v>
      </c>
      <c r="N75" s="7">
        <f>(Post5[[#This Row],[Likes]]+Post5[[#This Row],[Shares]]+Post5[[#This Row],[Comments]])/Post5[[#This Row],[Impressions]]</f>
        <v>0.13351302785265048</v>
      </c>
      <c r="O75">
        <f>SUM(Post5[[#This Row],[Likes]],Post5[[#This Row],[Shares]],Post5[[#This Row],[Comments]])</f>
        <v>2229</v>
      </c>
    </row>
    <row r="76" spans="1:15" x14ac:dyDescent="0.25">
      <c r="A76" t="s">
        <v>117</v>
      </c>
      <c r="B76" t="s">
        <v>7</v>
      </c>
      <c r="C76" s="1">
        <v>45505</v>
      </c>
      <c r="D76" t="s">
        <v>23</v>
      </c>
      <c r="E76" t="s">
        <v>24</v>
      </c>
      <c r="F76">
        <v>1674</v>
      </c>
      <c r="G76">
        <v>929</v>
      </c>
      <c r="H76">
        <v>37</v>
      </c>
      <c r="I76">
        <v>21762</v>
      </c>
      <c r="J76">
        <v>20998</v>
      </c>
      <c r="K76">
        <v>255</v>
      </c>
      <c r="L76" t="s">
        <v>37</v>
      </c>
      <c r="M76" t="s">
        <v>38</v>
      </c>
      <c r="N76" s="7">
        <f>(Post5[[#This Row],[Likes]]+Post5[[#This Row],[Shares]]+Post5[[#This Row],[Comments]])/Post5[[#This Row],[Impressions]]</f>
        <v>0.12131237937689551</v>
      </c>
      <c r="O76">
        <f>SUM(Post5[[#This Row],[Likes]],Post5[[#This Row],[Shares]],Post5[[#This Row],[Comments]])</f>
        <v>2640</v>
      </c>
    </row>
    <row r="77" spans="1:15" x14ac:dyDescent="0.25">
      <c r="A77" t="s">
        <v>118</v>
      </c>
      <c r="B77" t="s">
        <v>9</v>
      </c>
      <c r="C77" s="1">
        <v>45603</v>
      </c>
      <c r="D77" t="s">
        <v>34</v>
      </c>
      <c r="E77" t="s">
        <v>35</v>
      </c>
      <c r="F77">
        <v>1121</v>
      </c>
      <c r="G77">
        <v>135</v>
      </c>
      <c r="H77">
        <v>18</v>
      </c>
      <c r="I77">
        <v>15694</v>
      </c>
      <c r="J77">
        <v>14957</v>
      </c>
      <c r="K77">
        <v>99</v>
      </c>
      <c r="L77" t="s">
        <v>25</v>
      </c>
      <c r="M77" t="s">
        <v>49</v>
      </c>
      <c r="N77" s="7">
        <f>(Post5[[#This Row],[Likes]]+Post5[[#This Row],[Shares]]+Post5[[#This Row],[Comments]])/Post5[[#This Row],[Impressions]]</f>
        <v>8.1177520071364848E-2</v>
      </c>
      <c r="O77">
        <f>SUM(Post5[[#This Row],[Likes]],Post5[[#This Row],[Shares]],Post5[[#This Row],[Comments]])</f>
        <v>1274</v>
      </c>
    </row>
    <row r="78" spans="1:15" x14ac:dyDescent="0.25">
      <c r="A78" t="s">
        <v>119</v>
      </c>
      <c r="B78" t="s">
        <v>8</v>
      </c>
      <c r="C78" s="1">
        <v>45720</v>
      </c>
      <c r="D78" t="s">
        <v>34</v>
      </c>
      <c r="E78" t="s">
        <v>35</v>
      </c>
      <c r="F78">
        <v>1249</v>
      </c>
      <c r="G78">
        <v>116</v>
      </c>
      <c r="H78">
        <v>420</v>
      </c>
      <c r="I78">
        <v>8743</v>
      </c>
      <c r="J78">
        <v>8538</v>
      </c>
      <c r="K78">
        <v>63</v>
      </c>
      <c r="L78" t="s">
        <v>30</v>
      </c>
      <c r="M78" t="s">
        <v>38</v>
      </c>
      <c r="N78" s="7">
        <f>(Post5[[#This Row],[Likes]]+Post5[[#This Row],[Shares]]+Post5[[#This Row],[Comments]])/Post5[[#This Row],[Impressions]]</f>
        <v>0.20416333066453163</v>
      </c>
      <c r="O78">
        <f>SUM(Post5[[#This Row],[Likes]],Post5[[#This Row],[Shares]],Post5[[#This Row],[Comments]])</f>
        <v>1785</v>
      </c>
    </row>
    <row r="79" spans="1:15" x14ac:dyDescent="0.25">
      <c r="A79" t="s">
        <v>120</v>
      </c>
      <c r="B79" t="s">
        <v>9</v>
      </c>
      <c r="C79" s="1">
        <v>45460</v>
      </c>
      <c r="D79" t="s">
        <v>45</v>
      </c>
      <c r="E79" t="s">
        <v>46</v>
      </c>
      <c r="F79">
        <v>954</v>
      </c>
      <c r="G79">
        <v>324</v>
      </c>
      <c r="H79">
        <v>288</v>
      </c>
      <c r="I79">
        <v>19080</v>
      </c>
      <c r="J79">
        <v>18859</v>
      </c>
      <c r="K79">
        <v>21</v>
      </c>
      <c r="L79" t="s">
        <v>42</v>
      </c>
      <c r="M79" t="s">
        <v>38</v>
      </c>
      <c r="N79" s="7">
        <f>(Post5[[#This Row],[Likes]]+Post5[[#This Row],[Shares]]+Post5[[#This Row],[Comments]])/Post5[[#This Row],[Impressions]]</f>
        <v>8.2075471698113203E-2</v>
      </c>
      <c r="O79">
        <f>SUM(Post5[[#This Row],[Likes]],Post5[[#This Row],[Shares]],Post5[[#This Row],[Comments]])</f>
        <v>1566</v>
      </c>
    </row>
    <row r="80" spans="1:15" x14ac:dyDescent="0.25">
      <c r="A80" t="s">
        <v>121</v>
      </c>
      <c r="B80" t="s">
        <v>7</v>
      </c>
      <c r="C80" s="1">
        <v>45574</v>
      </c>
      <c r="D80" t="s">
        <v>40</v>
      </c>
      <c r="E80" t="s">
        <v>41</v>
      </c>
      <c r="F80">
        <v>3068</v>
      </c>
      <c r="G80">
        <v>137</v>
      </c>
      <c r="H80">
        <v>329</v>
      </c>
      <c r="I80">
        <v>39884</v>
      </c>
      <c r="J80">
        <v>39404</v>
      </c>
      <c r="K80">
        <v>266</v>
      </c>
      <c r="L80" t="s">
        <v>25</v>
      </c>
      <c r="M80" t="s">
        <v>38</v>
      </c>
      <c r="N80" s="7">
        <f>(Post5[[#This Row],[Likes]]+Post5[[#This Row],[Shares]]+Post5[[#This Row],[Comments]])/Post5[[#This Row],[Impressions]]</f>
        <v>8.860696018453515E-2</v>
      </c>
      <c r="O80">
        <f>SUM(Post5[[#This Row],[Likes]],Post5[[#This Row],[Shares]],Post5[[#This Row],[Comments]])</f>
        <v>3534</v>
      </c>
    </row>
    <row r="81" spans="1:15" x14ac:dyDescent="0.25">
      <c r="A81" t="s">
        <v>122</v>
      </c>
      <c r="B81" t="s">
        <v>7</v>
      </c>
      <c r="C81" s="1">
        <v>45456</v>
      </c>
      <c r="D81" t="s">
        <v>34</v>
      </c>
      <c r="E81" t="s">
        <v>35</v>
      </c>
      <c r="F81">
        <v>2103</v>
      </c>
      <c r="G81">
        <v>892</v>
      </c>
      <c r="H81">
        <v>103</v>
      </c>
      <c r="I81">
        <v>39957</v>
      </c>
      <c r="J81">
        <v>39466</v>
      </c>
      <c r="K81">
        <v>28</v>
      </c>
      <c r="L81" t="s">
        <v>57</v>
      </c>
      <c r="M81" t="s">
        <v>31</v>
      </c>
      <c r="N81" s="7">
        <f>(Post5[[#This Row],[Likes]]+Post5[[#This Row],[Shares]]+Post5[[#This Row],[Comments]])/Post5[[#This Row],[Impressions]]</f>
        <v>7.7533348349475686E-2</v>
      </c>
      <c r="O81">
        <f>SUM(Post5[[#This Row],[Likes]],Post5[[#This Row],[Shares]],Post5[[#This Row],[Comments]])</f>
        <v>3098</v>
      </c>
    </row>
    <row r="82" spans="1:15" x14ac:dyDescent="0.25">
      <c r="A82" t="s">
        <v>123</v>
      </c>
      <c r="B82" t="s">
        <v>7</v>
      </c>
      <c r="C82" s="1">
        <v>45584</v>
      </c>
      <c r="D82" t="s">
        <v>34</v>
      </c>
      <c r="E82" t="s">
        <v>35</v>
      </c>
      <c r="F82">
        <v>1816</v>
      </c>
      <c r="G82">
        <v>29</v>
      </c>
      <c r="H82">
        <v>41</v>
      </c>
      <c r="I82">
        <v>19976</v>
      </c>
      <c r="J82">
        <v>19262</v>
      </c>
      <c r="K82">
        <v>283</v>
      </c>
      <c r="L82" t="s">
        <v>42</v>
      </c>
      <c r="M82" t="s">
        <v>38</v>
      </c>
      <c r="N82" s="7">
        <f>(Post5[[#This Row],[Likes]]+Post5[[#This Row],[Shares]]+Post5[[#This Row],[Comments]])/Post5[[#This Row],[Impressions]]</f>
        <v>9.4413295955146179E-2</v>
      </c>
      <c r="O82">
        <f>SUM(Post5[[#This Row],[Likes]],Post5[[#This Row],[Shares]],Post5[[#This Row],[Comments]])</f>
        <v>1886</v>
      </c>
    </row>
    <row r="83" spans="1:15" x14ac:dyDescent="0.25">
      <c r="A83" t="s">
        <v>124</v>
      </c>
      <c r="B83" t="s">
        <v>7</v>
      </c>
      <c r="C83" s="1">
        <v>45497</v>
      </c>
      <c r="D83" t="s">
        <v>45</v>
      </c>
      <c r="E83" t="s">
        <v>46</v>
      </c>
      <c r="F83">
        <v>725</v>
      </c>
      <c r="G83">
        <v>88</v>
      </c>
      <c r="H83">
        <v>428</v>
      </c>
      <c r="I83">
        <v>14500</v>
      </c>
      <c r="J83">
        <v>13637</v>
      </c>
      <c r="K83">
        <v>200</v>
      </c>
      <c r="L83" t="s">
        <v>42</v>
      </c>
      <c r="M83" t="s">
        <v>38</v>
      </c>
      <c r="N83" s="7">
        <f>(Post5[[#This Row],[Likes]]+Post5[[#This Row],[Shares]]+Post5[[#This Row],[Comments]])/Post5[[#This Row],[Impressions]]</f>
        <v>8.558620689655172E-2</v>
      </c>
      <c r="O83">
        <f>SUM(Post5[[#This Row],[Likes]],Post5[[#This Row],[Shares]],Post5[[#This Row],[Comments]])</f>
        <v>1241</v>
      </c>
    </row>
    <row r="84" spans="1:15" x14ac:dyDescent="0.25">
      <c r="A84" t="s">
        <v>125</v>
      </c>
      <c r="B84" t="s">
        <v>10</v>
      </c>
      <c r="C84" s="1">
        <v>45580</v>
      </c>
      <c r="D84" t="s">
        <v>55</v>
      </c>
      <c r="E84" t="s">
        <v>56</v>
      </c>
      <c r="F84">
        <v>1094</v>
      </c>
      <c r="G84">
        <v>472</v>
      </c>
      <c r="H84">
        <v>21</v>
      </c>
      <c r="I84">
        <v>9846</v>
      </c>
      <c r="J84">
        <v>9609</v>
      </c>
      <c r="K84">
        <v>112</v>
      </c>
      <c r="L84" t="s">
        <v>42</v>
      </c>
      <c r="M84" t="s">
        <v>38</v>
      </c>
      <c r="N84" s="7">
        <f>(Post5[[#This Row],[Likes]]+Post5[[#This Row],[Shares]]+Post5[[#This Row],[Comments]])/Post5[[#This Row],[Impressions]]</f>
        <v>0.16118220597196831</v>
      </c>
      <c r="O84">
        <f>SUM(Post5[[#This Row],[Likes]],Post5[[#This Row],[Shares]],Post5[[#This Row],[Comments]])</f>
        <v>1587</v>
      </c>
    </row>
    <row r="85" spans="1:15" x14ac:dyDescent="0.25">
      <c r="A85" t="s">
        <v>126</v>
      </c>
      <c r="B85" t="s">
        <v>8</v>
      </c>
      <c r="C85" s="1">
        <v>45635</v>
      </c>
      <c r="D85" t="s">
        <v>45</v>
      </c>
      <c r="E85" t="s">
        <v>46</v>
      </c>
      <c r="F85">
        <v>1841</v>
      </c>
      <c r="G85">
        <v>851</v>
      </c>
      <c r="H85">
        <v>342</v>
      </c>
      <c r="I85">
        <v>34979</v>
      </c>
      <c r="J85">
        <v>34154</v>
      </c>
      <c r="K85">
        <v>255</v>
      </c>
      <c r="L85" t="s">
        <v>30</v>
      </c>
      <c r="M85" t="s">
        <v>26</v>
      </c>
      <c r="N85" s="7">
        <f>(Post5[[#This Row],[Likes]]+Post5[[#This Row],[Shares]]+Post5[[#This Row],[Comments]])/Post5[[#This Row],[Impressions]]</f>
        <v>8.6737756939878216E-2</v>
      </c>
      <c r="O85">
        <f>SUM(Post5[[#This Row],[Likes]],Post5[[#This Row],[Shares]],Post5[[#This Row],[Comments]])</f>
        <v>3034</v>
      </c>
    </row>
    <row r="86" spans="1:15" x14ac:dyDescent="0.25">
      <c r="A86" t="s">
        <v>127</v>
      </c>
      <c r="B86" t="s">
        <v>7</v>
      </c>
      <c r="C86" s="1">
        <v>45766</v>
      </c>
      <c r="D86" t="s">
        <v>45</v>
      </c>
      <c r="E86" t="s">
        <v>46</v>
      </c>
      <c r="F86">
        <v>4177</v>
      </c>
      <c r="G86">
        <v>569</v>
      </c>
      <c r="H86">
        <v>55</v>
      </c>
      <c r="I86">
        <v>25062</v>
      </c>
      <c r="J86">
        <v>24847</v>
      </c>
      <c r="K86">
        <v>230</v>
      </c>
      <c r="L86" t="s">
        <v>30</v>
      </c>
      <c r="M86" t="s">
        <v>26</v>
      </c>
      <c r="N86" s="7">
        <f>(Post5[[#This Row],[Likes]]+Post5[[#This Row],[Shares]]+Post5[[#This Row],[Comments]])/Post5[[#This Row],[Impressions]]</f>
        <v>0.19156491900087783</v>
      </c>
      <c r="O86">
        <f>SUM(Post5[[#This Row],[Likes]],Post5[[#This Row],[Shares]],Post5[[#This Row],[Comments]])</f>
        <v>4801</v>
      </c>
    </row>
    <row r="87" spans="1:15" x14ac:dyDescent="0.25">
      <c r="A87" t="s">
        <v>128</v>
      </c>
      <c r="B87" t="s">
        <v>10</v>
      </c>
      <c r="C87" s="1">
        <v>45684</v>
      </c>
      <c r="D87" t="s">
        <v>28</v>
      </c>
      <c r="E87" t="s">
        <v>29</v>
      </c>
      <c r="F87">
        <v>3428</v>
      </c>
      <c r="G87">
        <v>305</v>
      </c>
      <c r="H87">
        <v>85</v>
      </c>
      <c r="I87">
        <v>58276</v>
      </c>
      <c r="J87">
        <v>58052</v>
      </c>
      <c r="K87">
        <v>242</v>
      </c>
      <c r="L87" t="s">
        <v>42</v>
      </c>
      <c r="M87" t="s">
        <v>38</v>
      </c>
      <c r="N87" s="7">
        <f>(Post5[[#This Row],[Likes]]+Post5[[#This Row],[Shares]]+Post5[[#This Row],[Comments]])/Post5[[#This Row],[Impressions]]</f>
        <v>6.5515821264328367E-2</v>
      </c>
      <c r="O87">
        <f>SUM(Post5[[#This Row],[Likes]],Post5[[#This Row],[Shares]],Post5[[#This Row],[Comments]])</f>
        <v>3818</v>
      </c>
    </row>
    <row r="88" spans="1:15" x14ac:dyDescent="0.25">
      <c r="A88" t="s">
        <v>129</v>
      </c>
      <c r="B88" t="s">
        <v>9</v>
      </c>
      <c r="C88" s="1">
        <v>45449</v>
      </c>
      <c r="D88" t="s">
        <v>55</v>
      </c>
      <c r="E88" t="s">
        <v>56</v>
      </c>
      <c r="F88">
        <v>1436</v>
      </c>
      <c r="G88">
        <v>765</v>
      </c>
      <c r="H88">
        <v>496</v>
      </c>
      <c r="I88">
        <v>12924</v>
      </c>
      <c r="J88">
        <v>12701</v>
      </c>
      <c r="K88">
        <v>197</v>
      </c>
      <c r="L88" t="s">
        <v>42</v>
      </c>
      <c r="M88" t="s">
        <v>31</v>
      </c>
      <c r="N88" s="7">
        <f>(Post5[[#This Row],[Likes]]+Post5[[#This Row],[Shares]]+Post5[[#This Row],[Comments]])/Post5[[#This Row],[Impressions]]</f>
        <v>0.20868152274837512</v>
      </c>
      <c r="O88">
        <f>SUM(Post5[[#This Row],[Likes]],Post5[[#This Row],[Shares]],Post5[[#This Row],[Comments]])</f>
        <v>2697</v>
      </c>
    </row>
    <row r="89" spans="1:15" x14ac:dyDescent="0.25">
      <c r="A89" t="s">
        <v>130</v>
      </c>
      <c r="B89" t="s">
        <v>8</v>
      </c>
      <c r="C89" s="1">
        <v>45480</v>
      </c>
      <c r="D89" t="s">
        <v>34</v>
      </c>
      <c r="E89" t="s">
        <v>35</v>
      </c>
      <c r="F89">
        <v>302</v>
      </c>
      <c r="G89">
        <v>47</v>
      </c>
      <c r="H89">
        <v>430</v>
      </c>
      <c r="I89">
        <v>5738</v>
      </c>
      <c r="J89">
        <v>4890</v>
      </c>
      <c r="K89">
        <v>25</v>
      </c>
      <c r="L89" t="s">
        <v>30</v>
      </c>
      <c r="M89" t="s">
        <v>31</v>
      </c>
      <c r="N89" s="7">
        <f>(Post5[[#This Row],[Likes]]+Post5[[#This Row],[Shares]]+Post5[[#This Row],[Comments]])/Post5[[#This Row],[Impressions]]</f>
        <v>0.13576158940397351</v>
      </c>
      <c r="O89">
        <f>SUM(Post5[[#This Row],[Likes]],Post5[[#This Row],[Shares]],Post5[[#This Row],[Comments]])</f>
        <v>779</v>
      </c>
    </row>
    <row r="90" spans="1:15" x14ac:dyDescent="0.25">
      <c r="A90" t="s">
        <v>131</v>
      </c>
      <c r="B90" t="s">
        <v>9</v>
      </c>
      <c r="C90" s="1">
        <v>45667</v>
      </c>
      <c r="D90" t="s">
        <v>45</v>
      </c>
      <c r="E90" t="s">
        <v>46</v>
      </c>
      <c r="F90">
        <v>2214</v>
      </c>
      <c r="G90">
        <v>249</v>
      </c>
      <c r="H90">
        <v>152</v>
      </c>
      <c r="I90">
        <v>15498</v>
      </c>
      <c r="J90">
        <v>14800</v>
      </c>
      <c r="K90">
        <v>180</v>
      </c>
      <c r="L90" t="s">
        <v>25</v>
      </c>
      <c r="M90" t="s">
        <v>31</v>
      </c>
      <c r="N90" s="7">
        <f>(Post5[[#This Row],[Likes]]+Post5[[#This Row],[Shares]]+Post5[[#This Row],[Comments]])/Post5[[#This Row],[Impressions]]</f>
        <v>0.16873144921925409</v>
      </c>
      <c r="O90">
        <f>SUM(Post5[[#This Row],[Likes]],Post5[[#This Row],[Shares]],Post5[[#This Row],[Comments]])</f>
        <v>2615</v>
      </c>
    </row>
    <row r="91" spans="1:15" x14ac:dyDescent="0.25">
      <c r="A91" t="s">
        <v>132</v>
      </c>
      <c r="B91" t="s">
        <v>7</v>
      </c>
      <c r="C91" s="1">
        <v>45446</v>
      </c>
      <c r="D91" t="s">
        <v>45</v>
      </c>
      <c r="E91" t="s">
        <v>46</v>
      </c>
      <c r="F91">
        <v>3861</v>
      </c>
      <c r="G91">
        <v>960</v>
      </c>
      <c r="H91">
        <v>101</v>
      </c>
      <c r="I91">
        <v>69498</v>
      </c>
      <c r="J91">
        <v>68817</v>
      </c>
      <c r="K91">
        <v>297</v>
      </c>
      <c r="L91" t="s">
        <v>30</v>
      </c>
      <c r="M91" t="s">
        <v>31</v>
      </c>
      <c r="N91" s="7">
        <f>(Post5[[#This Row],[Likes]]+Post5[[#This Row],[Shares]]+Post5[[#This Row],[Comments]])/Post5[[#This Row],[Impressions]]</f>
        <v>7.0822181933293038E-2</v>
      </c>
      <c r="O91">
        <f>SUM(Post5[[#This Row],[Likes]],Post5[[#This Row],[Shares]],Post5[[#This Row],[Comments]])</f>
        <v>4922</v>
      </c>
    </row>
    <row r="92" spans="1:15" x14ac:dyDescent="0.25">
      <c r="A92" t="s">
        <v>133</v>
      </c>
      <c r="B92" t="s">
        <v>8</v>
      </c>
      <c r="C92" s="1">
        <v>45740</v>
      </c>
      <c r="D92" t="s">
        <v>45</v>
      </c>
      <c r="E92" t="s">
        <v>46</v>
      </c>
      <c r="F92">
        <v>1263</v>
      </c>
      <c r="G92">
        <v>397</v>
      </c>
      <c r="H92">
        <v>357</v>
      </c>
      <c r="I92">
        <v>25260</v>
      </c>
      <c r="J92">
        <v>24615</v>
      </c>
      <c r="K92">
        <v>137</v>
      </c>
      <c r="L92" t="s">
        <v>25</v>
      </c>
      <c r="M92" t="s">
        <v>31</v>
      </c>
      <c r="N92" s="7">
        <f>(Post5[[#This Row],[Likes]]+Post5[[#This Row],[Shares]]+Post5[[#This Row],[Comments]])/Post5[[#This Row],[Impressions]]</f>
        <v>7.984956452889945E-2</v>
      </c>
      <c r="O92">
        <f>SUM(Post5[[#This Row],[Likes]],Post5[[#This Row],[Shares]],Post5[[#This Row],[Comments]])</f>
        <v>2017</v>
      </c>
    </row>
    <row r="93" spans="1:15" x14ac:dyDescent="0.25">
      <c r="A93" t="s">
        <v>134</v>
      </c>
      <c r="B93" t="s">
        <v>9</v>
      </c>
      <c r="C93" s="1">
        <v>45586</v>
      </c>
      <c r="D93" t="s">
        <v>34</v>
      </c>
      <c r="E93" t="s">
        <v>35</v>
      </c>
      <c r="F93">
        <v>3801</v>
      </c>
      <c r="G93">
        <v>967</v>
      </c>
      <c r="H93">
        <v>401</v>
      </c>
      <c r="I93">
        <v>38010</v>
      </c>
      <c r="J93">
        <v>37625</v>
      </c>
      <c r="K93">
        <v>236</v>
      </c>
      <c r="L93" t="s">
        <v>37</v>
      </c>
      <c r="M93" t="s">
        <v>49</v>
      </c>
      <c r="N93" s="7">
        <f>(Post5[[#This Row],[Likes]]+Post5[[#This Row],[Shares]]+Post5[[#This Row],[Comments]])/Post5[[#This Row],[Impressions]]</f>
        <v>0.13599052880820836</v>
      </c>
      <c r="O93">
        <f>SUM(Post5[[#This Row],[Likes]],Post5[[#This Row],[Shares]],Post5[[#This Row],[Comments]])</f>
        <v>5169</v>
      </c>
    </row>
    <row r="94" spans="1:15" x14ac:dyDescent="0.25">
      <c r="A94" t="s">
        <v>135</v>
      </c>
      <c r="B94" t="s">
        <v>7</v>
      </c>
      <c r="C94" s="1">
        <v>45637</v>
      </c>
      <c r="D94" t="s">
        <v>55</v>
      </c>
      <c r="E94" t="s">
        <v>56</v>
      </c>
      <c r="F94">
        <v>1431</v>
      </c>
      <c r="G94">
        <v>951</v>
      </c>
      <c r="H94">
        <v>26</v>
      </c>
      <c r="I94">
        <v>8586</v>
      </c>
      <c r="J94">
        <v>8396</v>
      </c>
      <c r="K94">
        <v>150</v>
      </c>
      <c r="L94" t="s">
        <v>42</v>
      </c>
      <c r="M94" t="s">
        <v>26</v>
      </c>
      <c r="N94" s="7">
        <f>(Post5[[#This Row],[Likes]]+Post5[[#This Row],[Shares]]+Post5[[#This Row],[Comments]])/Post5[[#This Row],[Impressions]]</f>
        <v>0.28045655718611695</v>
      </c>
      <c r="O94">
        <f>SUM(Post5[[#This Row],[Likes]],Post5[[#This Row],[Shares]],Post5[[#This Row],[Comments]])</f>
        <v>2408</v>
      </c>
    </row>
    <row r="95" spans="1:15" x14ac:dyDescent="0.25">
      <c r="A95" t="s">
        <v>136</v>
      </c>
      <c r="B95" t="s">
        <v>7</v>
      </c>
      <c r="C95" s="1">
        <v>45603</v>
      </c>
      <c r="D95" t="s">
        <v>45</v>
      </c>
      <c r="E95" t="s">
        <v>46</v>
      </c>
      <c r="F95">
        <v>2647</v>
      </c>
      <c r="G95">
        <v>304</v>
      </c>
      <c r="H95">
        <v>170</v>
      </c>
      <c r="I95">
        <v>18529</v>
      </c>
      <c r="J95">
        <v>17841</v>
      </c>
      <c r="K95">
        <v>46</v>
      </c>
      <c r="L95" t="s">
        <v>37</v>
      </c>
      <c r="M95" t="s">
        <v>31</v>
      </c>
      <c r="N95" s="7">
        <f>(Post5[[#This Row],[Likes]]+Post5[[#This Row],[Shares]]+Post5[[#This Row],[Comments]])/Post5[[#This Row],[Impressions]]</f>
        <v>0.16843866371633656</v>
      </c>
      <c r="O95">
        <f>SUM(Post5[[#This Row],[Likes]],Post5[[#This Row],[Shares]],Post5[[#This Row],[Comments]])</f>
        <v>3121</v>
      </c>
    </row>
    <row r="96" spans="1:15" x14ac:dyDescent="0.25">
      <c r="A96" t="s">
        <v>137</v>
      </c>
      <c r="B96" t="s">
        <v>7</v>
      </c>
      <c r="C96" s="1">
        <v>45604</v>
      </c>
      <c r="D96" t="s">
        <v>28</v>
      </c>
      <c r="E96" t="s">
        <v>29</v>
      </c>
      <c r="F96">
        <v>3182</v>
      </c>
      <c r="G96">
        <v>559</v>
      </c>
      <c r="H96">
        <v>160</v>
      </c>
      <c r="I96">
        <v>57276</v>
      </c>
      <c r="J96">
        <v>56890</v>
      </c>
      <c r="K96">
        <v>163</v>
      </c>
      <c r="L96" t="s">
        <v>37</v>
      </c>
      <c r="M96" t="s">
        <v>31</v>
      </c>
      <c r="N96" s="7">
        <f>(Post5[[#This Row],[Likes]]+Post5[[#This Row],[Shares]]+Post5[[#This Row],[Comments]])/Post5[[#This Row],[Impressions]]</f>
        <v>6.8108806480899509E-2</v>
      </c>
      <c r="O96">
        <f>SUM(Post5[[#This Row],[Likes]],Post5[[#This Row],[Shares]],Post5[[#This Row],[Comments]])</f>
        <v>3901</v>
      </c>
    </row>
    <row r="97" spans="1:15" x14ac:dyDescent="0.25">
      <c r="A97" t="s">
        <v>138</v>
      </c>
      <c r="B97" t="s">
        <v>9</v>
      </c>
      <c r="C97" s="1">
        <v>45545</v>
      </c>
      <c r="D97" t="s">
        <v>45</v>
      </c>
      <c r="E97" t="s">
        <v>46</v>
      </c>
      <c r="F97">
        <v>1238</v>
      </c>
      <c r="G97">
        <v>366</v>
      </c>
      <c r="H97">
        <v>444</v>
      </c>
      <c r="I97">
        <v>19808</v>
      </c>
      <c r="J97">
        <v>19334</v>
      </c>
      <c r="K97">
        <v>123</v>
      </c>
      <c r="L97" t="s">
        <v>57</v>
      </c>
      <c r="M97" t="s">
        <v>38</v>
      </c>
      <c r="N97" s="7">
        <f>(Post5[[#This Row],[Likes]]+Post5[[#This Row],[Shares]]+Post5[[#This Row],[Comments]])/Post5[[#This Row],[Impressions]]</f>
        <v>0.10339256865912763</v>
      </c>
      <c r="O97">
        <f>SUM(Post5[[#This Row],[Likes]],Post5[[#This Row],[Shares]],Post5[[#This Row],[Comments]])</f>
        <v>2048</v>
      </c>
    </row>
    <row r="98" spans="1:15" x14ac:dyDescent="0.25">
      <c r="A98" t="s">
        <v>139</v>
      </c>
      <c r="B98" t="s">
        <v>7</v>
      </c>
      <c r="C98" s="1">
        <v>45517</v>
      </c>
      <c r="D98" t="s">
        <v>45</v>
      </c>
      <c r="E98" t="s">
        <v>46</v>
      </c>
      <c r="F98">
        <v>4739</v>
      </c>
      <c r="G98">
        <v>527</v>
      </c>
      <c r="H98">
        <v>135</v>
      </c>
      <c r="I98">
        <v>61607</v>
      </c>
      <c r="J98">
        <v>61333</v>
      </c>
      <c r="K98">
        <v>36</v>
      </c>
      <c r="L98" t="s">
        <v>37</v>
      </c>
      <c r="M98" t="s">
        <v>31</v>
      </c>
      <c r="N98" s="7">
        <f>(Post5[[#This Row],[Likes]]+Post5[[#This Row],[Shares]]+Post5[[#This Row],[Comments]])/Post5[[#This Row],[Impressions]]</f>
        <v>8.7668609086629767E-2</v>
      </c>
      <c r="O98">
        <f>SUM(Post5[[#This Row],[Likes]],Post5[[#This Row],[Shares]],Post5[[#This Row],[Comments]])</f>
        <v>5401</v>
      </c>
    </row>
    <row r="99" spans="1:15" x14ac:dyDescent="0.25">
      <c r="A99" t="s">
        <v>140</v>
      </c>
      <c r="B99" t="s">
        <v>9</v>
      </c>
      <c r="C99" s="1">
        <v>45453</v>
      </c>
      <c r="D99" t="s">
        <v>34</v>
      </c>
      <c r="E99" t="s">
        <v>35</v>
      </c>
      <c r="F99">
        <v>1575</v>
      </c>
      <c r="G99">
        <v>771</v>
      </c>
      <c r="H99">
        <v>486</v>
      </c>
      <c r="I99">
        <v>25200</v>
      </c>
      <c r="J99">
        <v>24826</v>
      </c>
      <c r="K99">
        <v>17</v>
      </c>
      <c r="L99" t="s">
        <v>37</v>
      </c>
      <c r="M99" t="s">
        <v>38</v>
      </c>
      <c r="N99" s="7">
        <f>(Post5[[#This Row],[Likes]]+Post5[[#This Row],[Shares]]+Post5[[#This Row],[Comments]])/Post5[[#This Row],[Impressions]]</f>
        <v>0.11238095238095239</v>
      </c>
      <c r="O99">
        <f>SUM(Post5[[#This Row],[Likes]],Post5[[#This Row],[Shares]],Post5[[#This Row],[Comments]])</f>
        <v>2832</v>
      </c>
    </row>
    <row r="100" spans="1:15" x14ac:dyDescent="0.25">
      <c r="A100" t="s">
        <v>141</v>
      </c>
      <c r="B100" t="s">
        <v>10</v>
      </c>
      <c r="C100" s="1">
        <v>45475</v>
      </c>
      <c r="D100" t="s">
        <v>40</v>
      </c>
      <c r="E100" t="s">
        <v>41</v>
      </c>
      <c r="F100">
        <v>4171</v>
      </c>
      <c r="G100">
        <v>548</v>
      </c>
      <c r="H100">
        <v>86</v>
      </c>
      <c r="I100">
        <v>66736</v>
      </c>
      <c r="J100">
        <v>66634</v>
      </c>
      <c r="K100">
        <v>173</v>
      </c>
      <c r="L100" t="s">
        <v>37</v>
      </c>
      <c r="M100" t="s">
        <v>38</v>
      </c>
      <c r="N100" s="7">
        <f>(Post5[[#This Row],[Likes]]+Post5[[#This Row],[Shares]]+Post5[[#This Row],[Comments]])/Post5[[#This Row],[Impressions]]</f>
        <v>7.2000119875329657E-2</v>
      </c>
      <c r="O100">
        <f>SUM(Post5[[#This Row],[Likes]],Post5[[#This Row],[Shares]],Post5[[#This Row],[Comments]])</f>
        <v>4805</v>
      </c>
    </row>
    <row r="101" spans="1:15" x14ac:dyDescent="0.25">
      <c r="A101" t="s">
        <v>142</v>
      </c>
      <c r="B101" t="s">
        <v>10</v>
      </c>
      <c r="C101" s="1">
        <v>45698</v>
      </c>
      <c r="D101" t="s">
        <v>55</v>
      </c>
      <c r="E101" t="s">
        <v>56</v>
      </c>
      <c r="F101">
        <v>1766</v>
      </c>
      <c r="G101">
        <v>92</v>
      </c>
      <c r="H101">
        <v>424</v>
      </c>
      <c r="I101">
        <v>24724</v>
      </c>
      <c r="J101">
        <v>24333</v>
      </c>
      <c r="K101">
        <v>52</v>
      </c>
      <c r="L101" t="s">
        <v>37</v>
      </c>
      <c r="M101" t="s">
        <v>26</v>
      </c>
      <c r="N101" s="7">
        <f>(Post5[[#This Row],[Likes]]+Post5[[#This Row],[Shares]]+Post5[[#This Row],[Comments]])/Post5[[#This Row],[Impressions]]</f>
        <v>9.2298980747451867E-2</v>
      </c>
      <c r="O101">
        <f>SUM(Post5[[#This Row],[Likes]],Post5[[#This Row],[Shares]],Post5[[#This Row],[Comments]])</f>
        <v>2282</v>
      </c>
    </row>
    <row r="102" spans="1:15" x14ac:dyDescent="0.25">
      <c r="A102" t="s">
        <v>143</v>
      </c>
      <c r="B102" t="s">
        <v>10</v>
      </c>
      <c r="C102" s="1">
        <v>45583</v>
      </c>
      <c r="D102" t="s">
        <v>55</v>
      </c>
      <c r="E102" t="s">
        <v>56</v>
      </c>
      <c r="F102">
        <v>4450</v>
      </c>
      <c r="G102">
        <v>983</v>
      </c>
      <c r="H102">
        <v>143</v>
      </c>
      <c r="I102">
        <v>75650</v>
      </c>
      <c r="J102">
        <v>75008</v>
      </c>
      <c r="K102">
        <v>12</v>
      </c>
      <c r="L102" t="s">
        <v>25</v>
      </c>
      <c r="M102" t="s">
        <v>31</v>
      </c>
      <c r="N102" s="7">
        <f>(Post5[[#This Row],[Likes]]+Post5[[#This Row],[Shares]]+Post5[[#This Row],[Comments]])/Post5[[#This Row],[Impressions]]</f>
        <v>7.3707865168539333E-2</v>
      </c>
      <c r="O102">
        <f>SUM(Post5[[#This Row],[Likes]],Post5[[#This Row],[Shares]],Post5[[#This Row],[Comments]])</f>
        <v>5576</v>
      </c>
    </row>
    <row r="103" spans="1:15" x14ac:dyDescent="0.25">
      <c r="A103" t="s">
        <v>144</v>
      </c>
      <c r="B103" t="s">
        <v>9</v>
      </c>
      <c r="C103" s="1">
        <v>45553</v>
      </c>
      <c r="D103" t="s">
        <v>23</v>
      </c>
      <c r="E103" t="s">
        <v>24</v>
      </c>
      <c r="F103">
        <v>1000</v>
      </c>
      <c r="G103">
        <v>978</v>
      </c>
      <c r="H103">
        <v>162</v>
      </c>
      <c r="I103">
        <v>6000</v>
      </c>
      <c r="J103">
        <v>5221</v>
      </c>
      <c r="K103">
        <v>223</v>
      </c>
      <c r="L103" t="s">
        <v>42</v>
      </c>
      <c r="M103" t="s">
        <v>38</v>
      </c>
      <c r="N103" s="7">
        <f>(Post5[[#This Row],[Likes]]+Post5[[#This Row],[Shares]]+Post5[[#This Row],[Comments]])/Post5[[#This Row],[Impressions]]</f>
        <v>0.35666666666666669</v>
      </c>
      <c r="O103">
        <f>SUM(Post5[[#This Row],[Likes]],Post5[[#This Row],[Shares]],Post5[[#This Row],[Comments]])</f>
        <v>2140</v>
      </c>
    </row>
    <row r="104" spans="1:15" x14ac:dyDescent="0.25">
      <c r="A104" t="s">
        <v>145</v>
      </c>
      <c r="B104" t="s">
        <v>8</v>
      </c>
      <c r="C104" s="1">
        <v>45454</v>
      </c>
      <c r="D104" t="s">
        <v>45</v>
      </c>
      <c r="E104" t="s">
        <v>46</v>
      </c>
      <c r="F104">
        <v>3689</v>
      </c>
      <c r="G104">
        <v>48</v>
      </c>
      <c r="H104">
        <v>306</v>
      </c>
      <c r="I104">
        <v>40579</v>
      </c>
      <c r="J104">
        <v>39588</v>
      </c>
      <c r="K104">
        <v>212</v>
      </c>
      <c r="L104" t="s">
        <v>42</v>
      </c>
      <c r="M104" t="s">
        <v>26</v>
      </c>
      <c r="N104" s="7">
        <f>(Post5[[#This Row],[Likes]]+Post5[[#This Row],[Shares]]+Post5[[#This Row],[Comments]])/Post5[[#This Row],[Impressions]]</f>
        <v>9.9632815002833983E-2</v>
      </c>
      <c r="O104">
        <f>SUM(Post5[[#This Row],[Likes]],Post5[[#This Row],[Shares]],Post5[[#This Row],[Comments]])</f>
        <v>4043</v>
      </c>
    </row>
    <row r="105" spans="1:15" x14ac:dyDescent="0.25">
      <c r="A105" t="s">
        <v>146</v>
      </c>
      <c r="B105" t="s">
        <v>10</v>
      </c>
      <c r="C105" s="1">
        <v>45739</v>
      </c>
      <c r="D105" t="s">
        <v>34</v>
      </c>
      <c r="E105" t="s">
        <v>35</v>
      </c>
      <c r="F105">
        <v>3655</v>
      </c>
      <c r="G105">
        <v>568</v>
      </c>
      <c r="H105">
        <v>286</v>
      </c>
      <c r="I105">
        <v>32895</v>
      </c>
      <c r="J105">
        <v>32015</v>
      </c>
      <c r="K105">
        <v>199</v>
      </c>
      <c r="L105" t="s">
        <v>42</v>
      </c>
      <c r="M105" t="s">
        <v>49</v>
      </c>
      <c r="N105" s="7">
        <f>(Post5[[#This Row],[Likes]]+Post5[[#This Row],[Shares]]+Post5[[#This Row],[Comments]])/Post5[[#This Row],[Impressions]]</f>
        <v>0.13707250341997265</v>
      </c>
      <c r="O105">
        <f>SUM(Post5[[#This Row],[Likes]],Post5[[#This Row],[Shares]],Post5[[#This Row],[Comments]])</f>
        <v>4509</v>
      </c>
    </row>
    <row r="106" spans="1:15" x14ac:dyDescent="0.25">
      <c r="A106" t="s">
        <v>147</v>
      </c>
      <c r="B106" t="s">
        <v>7</v>
      </c>
      <c r="C106" s="1">
        <v>45457</v>
      </c>
      <c r="D106" t="s">
        <v>40</v>
      </c>
      <c r="E106" t="s">
        <v>41</v>
      </c>
      <c r="F106">
        <v>498</v>
      </c>
      <c r="G106">
        <v>38</v>
      </c>
      <c r="H106">
        <v>42</v>
      </c>
      <c r="I106">
        <v>4482</v>
      </c>
      <c r="J106">
        <v>3647</v>
      </c>
      <c r="K106">
        <v>32</v>
      </c>
      <c r="L106" t="s">
        <v>37</v>
      </c>
      <c r="M106" t="s">
        <v>49</v>
      </c>
      <c r="N106" s="7">
        <f>(Post5[[#This Row],[Likes]]+Post5[[#This Row],[Shares]]+Post5[[#This Row],[Comments]])/Post5[[#This Row],[Impressions]]</f>
        <v>0.12896028558679162</v>
      </c>
      <c r="O106">
        <f>SUM(Post5[[#This Row],[Likes]],Post5[[#This Row],[Shares]],Post5[[#This Row],[Comments]])</f>
        <v>578</v>
      </c>
    </row>
    <row r="107" spans="1:15" x14ac:dyDescent="0.25">
      <c r="A107" t="s">
        <v>148</v>
      </c>
      <c r="B107" t="s">
        <v>7</v>
      </c>
      <c r="C107" s="1">
        <v>45692</v>
      </c>
      <c r="D107" t="s">
        <v>45</v>
      </c>
      <c r="E107" t="s">
        <v>46</v>
      </c>
      <c r="F107">
        <v>4619</v>
      </c>
      <c r="G107">
        <v>821</v>
      </c>
      <c r="H107">
        <v>499</v>
      </c>
      <c r="I107">
        <v>69285</v>
      </c>
      <c r="J107">
        <v>69141</v>
      </c>
      <c r="K107">
        <v>298</v>
      </c>
      <c r="L107" t="s">
        <v>30</v>
      </c>
      <c r="M107" t="s">
        <v>26</v>
      </c>
      <c r="N107" s="7">
        <f>(Post5[[#This Row],[Likes]]+Post5[[#This Row],[Shares]]+Post5[[#This Row],[Comments]])/Post5[[#This Row],[Impressions]]</f>
        <v>8.5718409468138843E-2</v>
      </c>
      <c r="O107">
        <f>SUM(Post5[[#This Row],[Likes]],Post5[[#This Row],[Shares]],Post5[[#This Row],[Comments]])</f>
        <v>5939</v>
      </c>
    </row>
    <row r="108" spans="1:15" x14ac:dyDescent="0.25">
      <c r="A108" t="s">
        <v>149</v>
      </c>
      <c r="B108" t="s">
        <v>10</v>
      </c>
      <c r="C108" s="1">
        <v>45464</v>
      </c>
      <c r="D108" t="s">
        <v>45</v>
      </c>
      <c r="E108" t="s">
        <v>46</v>
      </c>
      <c r="F108">
        <v>4832</v>
      </c>
      <c r="G108">
        <v>893</v>
      </c>
      <c r="H108">
        <v>10</v>
      </c>
      <c r="I108">
        <v>91808</v>
      </c>
      <c r="J108">
        <v>91296</v>
      </c>
      <c r="K108">
        <v>182</v>
      </c>
      <c r="L108" t="s">
        <v>25</v>
      </c>
      <c r="M108" t="s">
        <v>38</v>
      </c>
      <c r="N108" s="7">
        <f>(Post5[[#This Row],[Likes]]+Post5[[#This Row],[Shares]]+Post5[[#This Row],[Comments]])/Post5[[#This Row],[Impressions]]</f>
        <v>6.2467323109097243E-2</v>
      </c>
      <c r="O108">
        <f>SUM(Post5[[#This Row],[Likes]],Post5[[#This Row],[Shares]],Post5[[#This Row],[Comments]])</f>
        <v>5735</v>
      </c>
    </row>
    <row r="109" spans="1:15" x14ac:dyDescent="0.25">
      <c r="A109" t="s">
        <v>150</v>
      </c>
      <c r="B109" t="s">
        <v>9</v>
      </c>
      <c r="C109" s="1">
        <v>45741</v>
      </c>
      <c r="D109" t="s">
        <v>55</v>
      </c>
      <c r="E109" t="s">
        <v>56</v>
      </c>
      <c r="F109">
        <v>4050</v>
      </c>
      <c r="G109">
        <v>871</v>
      </c>
      <c r="H109">
        <v>347</v>
      </c>
      <c r="I109">
        <v>52650</v>
      </c>
      <c r="J109">
        <v>51755</v>
      </c>
      <c r="K109">
        <v>209</v>
      </c>
      <c r="L109" t="s">
        <v>37</v>
      </c>
      <c r="M109" t="s">
        <v>26</v>
      </c>
      <c r="N109" s="7">
        <f>(Post5[[#This Row],[Likes]]+Post5[[#This Row],[Shares]]+Post5[[#This Row],[Comments]])/Post5[[#This Row],[Impressions]]</f>
        <v>0.10005698005698006</v>
      </c>
      <c r="O109">
        <f>SUM(Post5[[#This Row],[Likes]],Post5[[#This Row],[Shares]],Post5[[#This Row],[Comments]])</f>
        <v>5268</v>
      </c>
    </row>
    <row r="110" spans="1:15" x14ac:dyDescent="0.25">
      <c r="A110" t="s">
        <v>151</v>
      </c>
      <c r="B110" t="s">
        <v>9</v>
      </c>
      <c r="C110" s="1">
        <v>45512</v>
      </c>
      <c r="D110" t="s">
        <v>34</v>
      </c>
      <c r="E110" t="s">
        <v>35</v>
      </c>
      <c r="F110">
        <v>3649</v>
      </c>
      <c r="G110">
        <v>215</v>
      </c>
      <c r="H110">
        <v>413</v>
      </c>
      <c r="I110">
        <v>25543</v>
      </c>
      <c r="J110">
        <v>24963</v>
      </c>
      <c r="K110">
        <v>167</v>
      </c>
      <c r="L110" t="s">
        <v>30</v>
      </c>
      <c r="M110" t="s">
        <v>26</v>
      </c>
      <c r="N110" s="7">
        <f>(Post5[[#This Row],[Likes]]+Post5[[#This Row],[Shares]]+Post5[[#This Row],[Comments]])/Post5[[#This Row],[Impressions]]</f>
        <v>0.16744313510550835</v>
      </c>
      <c r="O110">
        <f>SUM(Post5[[#This Row],[Likes]],Post5[[#This Row],[Shares]],Post5[[#This Row],[Comments]])</f>
        <v>4277</v>
      </c>
    </row>
    <row r="111" spans="1:15" x14ac:dyDescent="0.25">
      <c r="A111" t="s">
        <v>152</v>
      </c>
      <c r="B111" t="s">
        <v>7</v>
      </c>
      <c r="C111" s="1">
        <v>45502</v>
      </c>
      <c r="D111" t="s">
        <v>23</v>
      </c>
      <c r="E111" t="s">
        <v>24</v>
      </c>
      <c r="F111">
        <v>3523</v>
      </c>
      <c r="G111">
        <v>753</v>
      </c>
      <c r="H111">
        <v>482</v>
      </c>
      <c r="I111">
        <v>38753</v>
      </c>
      <c r="J111">
        <v>38579</v>
      </c>
      <c r="K111">
        <v>270</v>
      </c>
      <c r="L111" t="s">
        <v>57</v>
      </c>
      <c r="M111" t="s">
        <v>31</v>
      </c>
      <c r="N111" s="7">
        <f>(Post5[[#This Row],[Likes]]+Post5[[#This Row],[Shares]]+Post5[[#This Row],[Comments]])/Post5[[#This Row],[Impressions]]</f>
        <v>0.12277759141227776</v>
      </c>
      <c r="O111">
        <f>SUM(Post5[[#This Row],[Likes]],Post5[[#This Row],[Shares]],Post5[[#This Row],[Comments]])</f>
        <v>4758</v>
      </c>
    </row>
    <row r="112" spans="1:15" x14ac:dyDescent="0.25">
      <c r="A112" t="s">
        <v>153</v>
      </c>
      <c r="B112" t="s">
        <v>10</v>
      </c>
      <c r="C112" s="1">
        <v>45619</v>
      </c>
      <c r="D112" t="s">
        <v>45</v>
      </c>
      <c r="E112" t="s">
        <v>46</v>
      </c>
      <c r="F112">
        <v>2719</v>
      </c>
      <c r="G112">
        <v>17</v>
      </c>
      <c r="H112">
        <v>285</v>
      </c>
      <c r="I112">
        <v>40785</v>
      </c>
      <c r="J112">
        <v>40281</v>
      </c>
      <c r="K112">
        <v>40</v>
      </c>
      <c r="L112" t="s">
        <v>30</v>
      </c>
      <c r="M112" t="s">
        <v>38</v>
      </c>
      <c r="N112" s="7">
        <f>(Post5[[#This Row],[Likes]]+Post5[[#This Row],[Shares]]+Post5[[#This Row],[Comments]])/Post5[[#This Row],[Impressions]]</f>
        <v>7.4071349760941527E-2</v>
      </c>
      <c r="O112">
        <f>SUM(Post5[[#This Row],[Likes]],Post5[[#This Row],[Shares]],Post5[[#This Row],[Comments]])</f>
        <v>3021</v>
      </c>
    </row>
    <row r="113" spans="1:15" x14ac:dyDescent="0.25">
      <c r="A113" t="s">
        <v>154</v>
      </c>
      <c r="B113" t="s">
        <v>9</v>
      </c>
      <c r="C113" s="1">
        <v>45570</v>
      </c>
      <c r="D113" t="s">
        <v>34</v>
      </c>
      <c r="E113" t="s">
        <v>35</v>
      </c>
      <c r="F113">
        <v>1957</v>
      </c>
      <c r="G113">
        <v>877</v>
      </c>
      <c r="H113">
        <v>238</v>
      </c>
      <c r="I113">
        <v>17613</v>
      </c>
      <c r="J113">
        <v>16865</v>
      </c>
      <c r="K113">
        <v>297</v>
      </c>
      <c r="L113" t="s">
        <v>30</v>
      </c>
      <c r="M113" t="s">
        <v>38</v>
      </c>
      <c r="N113" s="7">
        <f>(Post5[[#This Row],[Likes]]+Post5[[#This Row],[Shares]]+Post5[[#This Row],[Comments]])/Post5[[#This Row],[Impressions]]</f>
        <v>0.17441662408448305</v>
      </c>
      <c r="O113">
        <f>SUM(Post5[[#This Row],[Likes]],Post5[[#This Row],[Shares]],Post5[[#This Row],[Comments]])</f>
        <v>3072</v>
      </c>
    </row>
    <row r="114" spans="1:15" x14ac:dyDescent="0.25">
      <c r="A114" t="s">
        <v>155</v>
      </c>
      <c r="B114" t="s">
        <v>9</v>
      </c>
      <c r="C114" s="1">
        <v>45567</v>
      </c>
      <c r="D114" t="s">
        <v>40</v>
      </c>
      <c r="E114" t="s">
        <v>41</v>
      </c>
      <c r="F114">
        <v>4419</v>
      </c>
      <c r="G114">
        <v>236</v>
      </c>
      <c r="H114">
        <v>369</v>
      </c>
      <c r="I114">
        <v>44190</v>
      </c>
      <c r="J114">
        <v>43582</v>
      </c>
      <c r="K114">
        <v>10</v>
      </c>
      <c r="L114" t="s">
        <v>42</v>
      </c>
      <c r="M114" t="s">
        <v>49</v>
      </c>
      <c r="N114" s="7">
        <f>(Post5[[#This Row],[Likes]]+Post5[[#This Row],[Shares]]+Post5[[#This Row],[Comments]])/Post5[[#This Row],[Impressions]]</f>
        <v>0.11369088028965829</v>
      </c>
      <c r="O114">
        <f>SUM(Post5[[#This Row],[Likes]],Post5[[#This Row],[Shares]],Post5[[#This Row],[Comments]])</f>
        <v>5024</v>
      </c>
    </row>
    <row r="115" spans="1:15" x14ac:dyDescent="0.25">
      <c r="A115" t="s">
        <v>156</v>
      </c>
      <c r="B115" t="s">
        <v>9</v>
      </c>
      <c r="C115" s="1">
        <v>45610</v>
      </c>
      <c r="D115" t="s">
        <v>34</v>
      </c>
      <c r="E115" t="s">
        <v>35</v>
      </c>
      <c r="F115">
        <v>4000</v>
      </c>
      <c r="G115">
        <v>689</v>
      </c>
      <c r="H115">
        <v>488</v>
      </c>
      <c r="I115">
        <v>40000</v>
      </c>
      <c r="J115">
        <v>39569</v>
      </c>
      <c r="K115">
        <v>44</v>
      </c>
      <c r="L115" t="s">
        <v>57</v>
      </c>
      <c r="M115" t="s">
        <v>38</v>
      </c>
      <c r="N115" s="7">
        <f>(Post5[[#This Row],[Likes]]+Post5[[#This Row],[Shares]]+Post5[[#This Row],[Comments]])/Post5[[#This Row],[Impressions]]</f>
        <v>0.12942500000000001</v>
      </c>
      <c r="O115">
        <f>SUM(Post5[[#This Row],[Likes]],Post5[[#This Row],[Shares]],Post5[[#This Row],[Comments]])</f>
        <v>5177</v>
      </c>
    </row>
    <row r="116" spans="1:15" x14ac:dyDescent="0.25">
      <c r="A116" t="s">
        <v>157</v>
      </c>
      <c r="B116" t="s">
        <v>9</v>
      </c>
      <c r="C116" s="1">
        <v>45788</v>
      </c>
      <c r="D116" t="s">
        <v>45</v>
      </c>
      <c r="E116" t="s">
        <v>46</v>
      </c>
      <c r="F116">
        <v>2493</v>
      </c>
      <c r="G116">
        <v>97</v>
      </c>
      <c r="H116">
        <v>44</v>
      </c>
      <c r="I116">
        <v>42381</v>
      </c>
      <c r="J116">
        <v>41991</v>
      </c>
      <c r="K116">
        <v>242</v>
      </c>
      <c r="L116" t="s">
        <v>25</v>
      </c>
      <c r="M116" t="s">
        <v>26</v>
      </c>
      <c r="N116" s="7">
        <f>(Post5[[#This Row],[Likes]]+Post5[[#This Row],[Shares]]+Post5[[#This Row],[Comments]])/Post5[[#This Row],[Impressions]]</f>
        <v>6.2150491965739366E-2</v>
      </c>
      <c r="O116">
        <f>SUM(Post5[[#This Row],[Likes]],Post5[[#This Row],[Shares]],Post5[[#This Row],[Comments]])</f>
        <v>2634</v>
      </c>
    </row>
    <row r="117" spans="1:15" x14ac:dyDescent="0.25">
      <c r="A117" t="s">
        <v>158</v>
      </c>
      <c r="B117" t="s">
        <v>10</v>
      </c>
      <c r="C117" s="1">
        <v>45734</v>
      </c>
      <c r="D117" t="s">
        <v>23</v>
      </c>
      <c r="E117" t="s">
        <v>24</v>
      </c>
      <c r="F117">
        <v>3704</v>
      </c>
      <c r="G117">
        <v>186</v>
      </c>
      <c r="H117">
        <v>458</v>
      </c>
      <c r="I117">
        <v>25928</v>
      </c>
      <c r="J117">
        <v>25081</v>
      </c>
      <c r="K117">
        <v>131</v>
      </c>
      <c r="L117" t="s">
        <v>37</v>
      </c>
      <c r="M117" t="s">
        <v>26</v>
      </c>
      <c r="N117" s="7">
        <f>(Post5[[#This Row],[Likes]]+Post5[[#This Row],[Shares]]+Post5[[#This Row],[Comments]])/Post5[[#This Row],[Impressions]]</f>
        <v>0.16769515581610614</v>
      </c>
      <c r="O117">
        <f>SUM(Post5[[#This Row],[Likes]],Post5[[#This Row],[Shares]],Post5[[#This Row],[Comments]])</f>
        <v>4348</v>
      </c>
    </row>
    <row r="118" spans="1:15" x14ac:dyDescent="0.25">
      <c r="A118" t="s">
        <v>159</v>
      </c>
      <c r="B118" t="s">
        <v>9</v>
      </c>
      <c r="C118" s="1">
        <v>45600</v>
      </c>
      <c r="D118" t="s">
        <v>45</v>
      </c>
      <c r="E118" t="s">
        <v>46</v>
      </c>
      <c r="F118">
        <v>1606</v>
      </c>
      <c r="G118">
        <v>451</v>
      </c>
      <c r="H118">
        <v>405</v>
      </c>
      <c r="I118">
        <v>20878</v>
      </c>
      <c r="J118">
        <v>20190</v>
      </c>
      <c r="K118">
        <v>219</v>
      </c>
      <c r="L118" t="s">
        <v>25</v>
      </c>
      <c r="M118" t="s">
        <v>31</v>
      </c>
      <c r="N118" s="7">
        <f>(Post5[[#This Row],[Likes]]+Post5[[#This Row],[Shares]]+Post5[[#This Row],[Comments]])/Post5[[#This Row],[Impressions]]</f>
        <v>0.11792317271769326</v>
      </c>
      <c r="O118">
        <f>SUM(Post5[[#This Row],[Likes]],Post5[[#This Row],[Shares]],Post5[[#This Row],[Comments]])</f>
        <v>2462</v>
      </c>
    </row>
    <row r="119" spans="1:15" x14ac:dyDescent="0.25">
      <c r="A119" t="s">
        <v>160</v>
      </c>
      <c r="B119" t="s">
        <v>8</v>
      </c>
      <c r="C119" s="1">
        <v>45600</v>
      </c>
      <c r="D119" t="s">
        <v>45</v>
      </c>
      <c r="E119" t="s">
        <v>46</v>
      </c>
      <c r="F119">
        <v>4551</v>
      </c>
      <c r="G119">
        <v>714</v>
      </c>
      <c r="H119">
        <v>207</v>
      </c>
      <c r="I119">
        <v>68265</v>
      </c>
      <c r="J119">
        <v>67754</v>
      </c>
      <c r="K119">
        <v>57</v>
      </c>
      <c r="L119" t="s">
        <v>42</v>
      </c>
      <c r="M119" t="s">
        <v>31</v>
      </c>
      <c r="N119" s="7">
        <f>(Post5[[#This Row],[Likes]]+Post5[[#This Row],[Shares]]+Post5[[#This Row],[Comments]])/Post5[[#This Row],[Impressions]]</f>
        <v>8.0158206987475278E-2</v>
      </c>
      <c r="O119">
        <f>SUM(Post5[[#This Row],[Likes]],Post5[[#This Row],[Shares]],Post5[[#This Row],[Comments]])</f>
        <v>5472</v>
      </c>
    </row>
    <row r="120" spans="1:15" x14ac:dyDescent="0.25">
      <c r="A120" t="s">
        <v>161</v>
      </c>
      <c r="B120" t="s">
        <v>7</v>
      </c>
      <c r="C120" s="1">
        <v>45695</v>
      </c>
      <c r="D120" t="s">
        <v>23</v>
      </c>
      <c r="E120" t="s">
        <v>24</v>
      </c>
      <c r="F120">
        <v>1970</v>
      </c>
      <c r="G120">
        <v>675</v>
      </c>
      <c r="H120">
        <v>478</v>
      </c>
      <c r="I120">
        <v>9850</v>
      </c>
      <c r="J120">
        <v>8924</v>
      </c>
      <c r="K120">
        <v>117</v>
      </c>
      <c r="L120" t="s">
        <v>42</v>
      </c>
      <c r="M120" t="s">
        <v>49</v>
      </c>
      <c r="N120" s="7">
        <f>(Post5[[#This Row],[Likes]]+Post5[[#This Row],[Shares]]+Post5[[#This Row],[Comments]])/Post5[[#This Row],[Impressions]]</f>
        <v>0.31705583756345179</v>
      </c>
      <c r="O120">
        <f>SUM(Post5[[#This Row],[Likes]],Post5[[#This Row],[Shares]],Post5[[#This Row],[Comments]])</f>
        <v>3123</v>
      </c>
    </row>
    <row r="121" spans="1:15" x14ac:dyDescent="0.25">
      <c r="A121" t="s">
        <v>162</v>
      </c>
      <c r="B121" t="s">
        <v>8</v>
      </c>
      <c r="C121" s="1">
        <v>45586</v>
      </c>
      <c r="D121" t="s">
        <v>34</v>
      </c>
      <c r="E121" t="s">
        <v>35</v>
      </c>
      <c r="F121">
        <v>780</v>
      </c>
      <c r="G121">
        <v>928</v>
      </c>
      <c r="H121">
        <v>301</v>
      </c>
      <c r="I121">
        <v>8580</v>
      </c>
      <c r="J121">
        <v>8081</v>
      </c>
      <c r="K121">
        <v>91</v>
      </c>
      <c r="L121" t="s">
        <v>25</v>
      </c>
      <c r="M121" t="s">
        <v>49</v>
      </c>
      <c r="N121" s="7">
        <f>(Post5[[#This Row],[Likes]]+Post5[[#This Row],[Shares]]+Post5[[#This Row],[Comments]])/Post5[[#This Row],[Impressions]]</f>
        <v>0.23414918414918415</v>
      </c>
      <c r="O121">
        <f>SUM(Post5[[#This Row],[Likes]],Post5[[#This Row],[Shares]],Post5[[#This Row],[Comments]])</f>
        <v>2009</v>
      </c>
    </row>
    <row r="122" spans="1:15" x14ac:dyDescent="0.25">
      <c r="A122" t="s">
        <v>163</v>
      </c>
      <c r="B122" t="s">
        <v>7</v>
      </c>
      <c r="C122" s="1">
        <v>45502</v>
      </c>
      <c r="D122" t="s">
        <v>34</v>
      </c>
      <c r="E122" t="s">
        <v>35</v>
      </c>
      <c r="F122">
        <v>498</v>
      </c>
      <c r="G122">
        <v>701</v>
      </c>
      <c r="H122">
        <v>412</v>
      </c>
      <c r="I122">
        <v>4980</v>
      </c>
      <c r="J122">
        <v>4185</v>
      </c>
      <c r="K122">
        <v>185</v>
      </c>
      <c r="L122" t="s">
        <v>57</v>
      </c>
      <c r="M122" t="s">
        <v>49</v>
      </c>
      <c r="N122" s="7">
        <f>(Post5[[#This Row],[Likes]]+Post5[[#This Row],[Shares]]+Post5[[#This Row],[Comments]])/Post5[[#This Row],[Impressions]]</f>
        <v>0.32349397590361445</v>
      </c>
      <c r="O122">
        <f>SUM(Post5[[#This Row],[Likes]],Post5[[#This Row],[Shares]],Post5[[#This Row],[Comments]])</f>
        <v>1611</v>
      </c>
    </row>
    <row r="123" spans="1:15" x14ac:dyDescent="0.25">
      <c r="A123" t="s">
        <v>164</v>
      </c>
      <c r="B123" t="s">
        <v>7</v>
      </c>
      <c r="C123" s="1">
        <v>45567</v>
      </c>
      <c r="D123" t="s">
        <v>28</v>
      </c>
      <c r="E123" t="s">
        <v>29</v>
      </c>
      <c r="F123">
        <v>3432</v>
      </c>
      <c r="G123">
        <v>869</v>
      </c>
      <c r="H123">
        <v>123</v>
      </c>
      <c r="I123">
        <v>54912</v>
      </c>
      <c r="J123">
        <v>53916</v>
      </c>
      <c r="K123">
        <v>264</v>
      </c>
      <c r="L123" t="s">
        <v>30</v>
      </c>
      <c r="M123" t="s">
        <v>31</v>
      </c>
      <c r="N123" s="7">
        <f>(Post5[[#This Row],[Likes]]+Post5[[#This Row],[Shares]]+Post5[[#This Row],[Comments]])/Post5[[#This Row],[Impressions]]</f>
        <v>8.0565268065268064E-2</v>
      </c>
      <c r="O123">
        <f>SUM(Post5[[#This Row],[Likes]],Post5[[#This Row],[Shares]],Post5[[#This Row],[Comments]])</f>
        <v>4424</v>
      </c>
    </row>
    <row r="124" spans="1:15" x14ac:dyDescent="0.25">
      <c r="A124" t="s">
        <v>165</v>
      </c>
      <c r="B124" t="s">
        <v>7</v>
      </c>
      <c r="C124" s="1">
        <v>45457</v>
      </c>
      <c r="D124" t="s">
        <v>34</v>
      </c>
      <c r="E124" t="s">
        <v>35</v>
      </c>
      <c r="F124">
        <v>4363</v>
      </c>
      <c r="G124">
        <v>649</v>
      </c>
      <c r="H124">
        <v>140</v>
      </c>
      <c r="I124">
        <v>21815</v>
      </c>
      <c r="J124">
        <v>21481</v>
      </c>
      <c r="K124">
        <v>157</v>
      </c>
      <c r="L124" t="s">
        <v>25</v>
      </c>
      <c r="M124" t="s">
        <v>31</v>
      </c>
      <c r="N124" s="7">
        <f>(Post5[[#This Row],[Likes]]+Post5[[#This Row],[Shares]]+Post5[[#This Row],[Comments]])/Post5[[#This Row],[Impressions]]</f>
        <v>0.23616777446710979</v>
      </c>
      <c r="O124">
        <f>SUM(Post5[[#This Row],[Likes]],Post5[[#This Row],[Shares]],Post5[[#This Row],[Comments]])</f>
        <v>5152</v>
      </c>
    </row>
    <row r="125" spans="1:15" x14ac:dyDescent="0.25">
      <c r="A125" t="s">
        <v>166</v>
      </c>
      <c r="B125" t="s">
        <v>10</v>
      </c>
      <c r="C125" s="1">
        <v>45753</v>
      </c>
      <c r="D125" t="s">
        <v>40</v>
      </c>
      <c r="E125" t="s">
        <v>41</v>
      </c>
      <c r="F125">
        <v>736</v>
      </c>
      <c r="G125">
        <v>771</v>
      </c>
      <c r="H125">
        <v>225</v>
      </c>
      <c r="I125">
        <v>5152</v>
      </c>
      <c r="J125">
        <v>4706</v>
      </c>
      <c r="K125">
        <v>19</v>
      </c>
      <c r="L125" t="s">
        <v>37</v>
      </c>
      <c r="M125" t="s">
        <v>38</v>
      </c>
      <c r="N125" s="7">
        <f>(Post5[[#This Row],[Likes]]+Post5[[#This Row],[Shares]]+Post5[[#This Row],[Comments]])/Post5[[#This Row],[Impressions]]</f>
        <v>0.33618012422360249</v>
      </c>
      <c r="O125">
        <f>SUM(Post5[[#This Row],[Likes]],Post5[[#This Row],[Shares]],Post5[[#This Row],[Comments]])</f>
        <v>1732</v>
      </c>
    </row>
    <row r="126" spans="1:15" x14ac:dyDescent="0.25">
      <c r="A126" t="s">
        <v>167</v>
      </c>
      <c r="B126" t="s">
        <v>9</v>
      </c>
      <c r="C126" s="1">
        <v>45543</v>
      </c>
      <c r="D126" t="s">
        <v>40</v>
      </c>
      <c r="E126" t="s">
        <v>41</v>
      </c>
      <c r="F126">
        <v>3811</v>
      </c>
      <c r="G126">
        <v>866</v>
      </c>
      <c r="H126">
        <v>216</v>
      </c>
      <c r="I126">
        <v>34299</v>
      </c>
      <c r="J126">
        <v>34088</v>
      </c>
      <c r="K126">
        <v>233</v>
      </c>
      <c r="L126" t="s">
        <v>37</v>
      </c>
      <c r="M126" t="s">
        <v>38</v>
      </c>
      <c r="N126" s="7">
        <f>(Post5[[#This Row],[Likes]]+Post5[[#This Row],[Shares]]+Post5[[#This Row],[Comments]])/Post5[[#This Row],[Impressions]]</f>
        <v>0.14265722032712325</v>
      </c>
      <c r="O126">
        <f>SUM(Post5[[#This Row],[Likes]],Post5[[#This Row],[Shares]],Post5[[#This Row],[Comments]])</f>
        <v>4893</v>
      </c>
    </row>
    <row r="127" spans="1:15" x14ac:dyDescent="0.25">
      <c r="A127" t="s">
        <v>168</v>
      </c>
      <c r="B127" t="s">
        <v>7</v>
      </c>
      <c r="C127" s="1">
        <v>45744</v>
      </c>
      <c r="D127" t="s">
        <v>40</v>
      </c>
      <c r="E127" t="s">
        <v>41</v>
      </c>
      <c r="F127">
        <v>4158</v>
      </c>
      <c r="G127">
        <v>167</v>
      </c>
      <c r="H127">
        <v>241</v>
      </c>
      <c r="I127">
        <v>45738</v>
      </c>
      <c r="J127">
        <v>45183</v>
      </c>
      <c r="K127">
        <v>142</v>
      </c>
      <c r="L127" t="s">
        <v>30</v>
      </c>
      <c r="M127" t="s">
        <v>31</v>
      </c>
      <c r="N127" s="7">
        <f>(Post5[[#This Row],[Likes]]+Post5[[#This Row],[Shares]]+Post5[[#This Row],[Comments]])/Post5[[#This Row],[Impressions]]</f>
        <v>9.9829463465827106E-2</v>
      </c>
      <c r="O127">
        <f>SUM(Post5[[#This Row],[Likes]],Post5[[#This Row],[Shares]],Post5[[#This Row],[Comments]])</f>
        <v>4566</v>
      </c>
    </row>
    <row r="128" spans="1:15" x14ac:dyDescent="0.25">
      <c r="A128" t="s">
        <v>169</v>
      </c>
      <c r="B128" t="s">
        <v>8</v>
      </c>
      <c r="C128" s="1">
        <v>45684</v>
      </c>
      <c r="D128" t="s">
        <v>23</v>
      </c>
      <c r="E128" t="s">
        <v>24</v>
      </c>
      <c r="F128">
        <v>3452</v>
      </c>
      <c r="G128">
        <v>652</v>
      </c>
      <c r="H128">
        <v>442</v>
      </c>
      <c r="I128">
        <v>65588</v>
      </c>
      <c r="J128">
        <v>65049</v>
      </c>
      <c r="K128">
        <v>158</v>
      </c>
      <c r="L128" t="s">
        <v>25</v>
      </c>
      <c r="M128" t="s">
        <v>26</v>
      </c>
      <c r="N128" s="7">
        <f>(Post5[[#This Row],[Likes]]+Post5[[#This Row],[Shares]]+Post5[[#This Row],[Comments]])/Post5[[#This Row],[Impressions]]</f>
        <v>6.9311459413307311E-2</v>
      </c>
      <c r="O128">
        <f>SUM(Post5[[#This Row],[Likes]],Post5[[#This Row],[Shares]],Post5[[#This Row],[Comments]])</f>
        <v>4546</v>
      </c>
    </row>
    <row r="129" spans="1:15" x14ac:dyDescent="0.25">
      <c r="A129" t="s">
        <v>170</v>
      </c>
      <c r="B129" t="s">
        <v>9</v>
      </c>
      <c r="C129" s="1">
        <v>45667</v>
      </c>
      <c r="D129" t="s">
        <v>45</v>
      </c>
      <c r="E129" t="s">
        <v>46</v>
      </c>
      <c r="F129">
        <v>3092</v>
      </c>
      <c r="G129">
        <v>106</v>
      </c>
      <c r="H129">
        <v>291</v>
      </c>
      <c r="I129">
        <v>27828</v>
      </c>
      <c r="J129">
        <v>27217</v>
      </c>
      <c r="K129">
        <v>102</v>
      </c>
      <c r="L129" t="s">
        <v>37</v>
      </c>
      <c r="M129" t="s">
        <v>49</v>
      </c>
      <c r="N129" s="7">
        <f>(Post5[[#This Row],[Likes]]+Post5[[#This Row],[Shares]]+Post5[[#This Row],[Comments]])/Post5[[#This Row],[Impressions]]</f>
        <v>0.12537731780940059</v>
      </c>
      <c r="O129">
        <f>SUM(Post5[[#This Row],[Likes]],Post5[[#This Row],[Shares]],Post5[[#This Row],[Comments]])</f>
        <v>3489</v>
      </c>
    </row>
    <row r="130" spans="1:15" x14ac:dyDescent="0.25">
      <c r="A130" t="s">
        <v>171</v>
      </c>
      <c r="B130" t="s">
        <v>9</v>
      </c>
      <c r="C130" s="1">
        <v>45494</v>
      </c>
      <c r="D130" t="s">
        <v>28</v>
      </c>
      <c r="E130" t="s">
        <v>29</v>
      </c>
      <c r="F130">
        <v>2147</v>
      </c>
      <c r="G130">
        <v>430</v>
      </c>
      <c r="H130">
        <v>393</v>
      </c>
      <c r="I130">
        <v>17176</v>
      </c>
      <c r="J130">
        <v>16483</v>
      </c>
      <c r="K130">
        <v>170</v>
      </c>
      <c r="L130" t="s">
        <v>57</v>
      </c>
      <c r="M130" t="s">
        <v>49</v>
      </c>
      <c r="N130" s="7">
        <f>(Post5[[#This Row],[Likes]]+Post5[[#This Row],[Shares]]+Post5[[#This Row],[Comments]])/Post5[[#This Row],[Impressions]]</f>
        <v>0.17291569632044715</v>
      </c>
      <c r="O130">
        <f>SUM(Post5[[#This Row],[Likes]],Post5[[#This Row],[Shares]],Post5[[#This Row],[Comments]])</f>
        <v>2970</v>
      </c>
    </row>
    <row r="131" spans="1:15" x14ac:dyDescent="0.25">
      <c r="A131" t="s">
        <v>172</v>
      </c>
      <c r="B131" t="s">
        <v>10</v>
      </c>
      <c r="C131" s="1">
        <v>45564</v>
      </c>
      <c r="D131" t="s">
        <v>23</v>
      </c>
      <c r="E131" t="s">
        <v>24</v>
      </c>
      <c r="F131">
        <v>2936</v>
      </c>
      <c r="G131">
        <v>439</v>
      </c>
      <c r="H131">
        <v>44</v>
      </c>
      <c r="I131">
        <v>38168</v>
      </c>
      <c r="J131">
        <v>37571</v>
      </c>
      <c r="K131">
        <v>22</v>
      </c>
      <c r="L131" t="s">
        <v>25</v>
      </c>
      <c r="M131" t="s">
        <v>38</v>
      </c>
      <c r="N131" s="7">
        <f>(Post5[[#This Row],[Likes]]+Post5[[#This Row],[Shares]]+Post5[[#This Row],[Comments]])/Post5[[#This Row],[Impressions]]</f>
        <v>8.9577656675749323E-2</v>
      </c>
      <c r="O131">
        <f>SUM(Post5[[#This Row],[Likes]],Post5[[#This Row],[Shares]],Post5[[#This Row],[Comments]])</f>
        <v>3419</v>
      </c>
    </row>
    <row r="132" spans="1:15" x14ac:dyDescent="0.25">
      <c r="A132" t="s">
        <v>173</v>
      </c>
      <c r="B132" t="s">
        <v>7</v>
      </c>
      <c r="C132" s="1">
        <v>45586</v>
      </c>
      <c r="D132" t="s">
        <v>23</v>
      </c>
      <c r="E132" t="s">
        <v>24</v>
      </c>
      <c r="F132">
        <v>4840</v>
      </c>
      <c r="G132">
        <v>658</v>
      </c>
      <c r="H132">
        <v>211</v>
      </c>
      <c r="I132">
        <v>43560</v>
      </c>
      <c r="J132">
        <v>43225</v>
      </c>
      <c r="K132">
        <v>57</v>
      </c>
      <c r="L132" t="s">
        <v>25</v>
      </c>
      <c r="M132" t="s">
        <v>31</v>
      </c>
      <c r="N132" s="7">
        <f>(Post5[[#This Row],[Likes]]+Post5[[#This Row],[Shares]]+Post5[[#This Row],[Comments]])/Post5[[#This Row],[Impressions]]</f>
        <v>0.13106060606060607</v>
      </c>
      <c r="O132">
        <f>SUM(Post5[[#This Row],[Likes]],Post5[[#This Row],[Shares]],Post5[[#This Row],[Comments]])</f>
        <v>5709</v>
      </c>
    </row>
    <row r="133" spans="1:15" x14ac:dyDescent="0.25">
      <c r="A133" t="s">
        <v>174</v>
      </c>
      <c r="B133" t="s">
        <v>7</v>
      </c>
      <c r="C133" s="1">
        <v>45720</v>
      </c>
      <c r="D133" t="s">
        <v>34</v>
      </c>
      <c r="E133" t="s">
        <v>35</v>
      </c>
      <c r="F133">
        <v>1947</v>
      </c>
      <c r="G133">
        <v>842</v>
      </c>
      <c r="H133">
        <v>101</v>
      </c>
      <c r="I133">
        <v>21417</v>
      </c>
      <c r="J133">
        <v>20967</v>
      </c>
      <c r="K133">
        <v>186</v>
      </c>
      <c r="L133" t="s">
        <v>30</v>
      </c>
      <c r="M133" t="s">
        <v>31</v>
      </c>
      <c r="N133" s="7">
        <f>(Post5[[#This Row],[Likes]]+Post5[[#This Row],[Shares]]+Post5[[#This Row],[Comments]])/Post5[[#This Row],[Impressions]]</f>
        <v>0.13493953401503478</v>
      </c>
      <c r="O133">
        <f>SUM(Post5[[#This Row],[Likes]],Post5[[#This Row],[Shares]],Post5[[#This Row],[Comments]])</f>
        <v>2890</v>
      </c>
    </row>
    <row r="134" spans="1:15" x14ac:dyDescent="0.25">
      <c r="A134" t="s">
        <v>175</v>
      </c>
      <c r="B134" t="s">
        <v>8</v>
      </c>
      <c r="C134" s="1">
        <v>45694</v>
      </c>
      <c r="D134" t="s">
        <v>45</v>
      </c>
      <c r="E134" t="s">
        <v>46</v>
      </c>
      <c r="F134">
        <v>2072</v>
      </c>
      <c r="G134">
        <v>532</v>
      </c>
      <c r="H134">
        <v>71</v>
      </c>
      <c r="I134">
        <v>37296</v>
      </c>
      <c r="J134">
        <v>36467</v>
      </c>
      <c r="K134">
        <v>25</v>
      </c>
      <c r="L134" t="s">
        <v>25</v>
      </c>
      <c r="M134" t="s">
        <v>38</v>
      </c>
      <c r="N134" s="7">
        <f>(Post5[[#This Row],[Likes]]+Post5[[#This Row],[Shares]]+Post5[[#This Row],[Comments]])/Post5[[#This Row],[Impressions]]</f>
        <v>7.172350922350923E-2</v>
      </c>
      <c r="O134">
        <f>SUM(Post5[[#This Row],[Likes]],Post5[[#This Row],[Shares]],Post5[[#This Row],[Comments]])</f>
        <v>2675</v>
      </c>
    </row>
    <row r="135" spans="1:15" x14ac:dyDescent="0.25">
      <c r="A135" t="s">
        <v>176</v>
      </c>
      <c r="B135" t="s">
        <v>9</v>
      </c>
      <c r="C135" s="1">
        <v>45771</v>
      </c>
      <c r="D135" t="s">
        <v>23</v>
      </c>
      <c r="E135" t="s">
        <v>24</v>
      </c>
      <c r="F135">
        <v>3731</v>
      </c>
      <c r="G135">
        <v>115</v>
      </c>
      <c r="H135">
        <v>135</v>
      </c>
      <c r="I135">
        <v>55965</v>
      </c>
      <c r="J135">
        <v>55436</v>
      </c>
      <c r="K135">
        <v>103</v>
      </c>
      <c r="L135" t="s">
        <v>57</v>
      </c>
      <c r="M135" t="s">
        <v>49</v>
      </c>
      <c r="N135" s="7">
        <f>(Post5[[#This Row],[Likes]]+Post5[[#This Row],[Shares]]+Post5[[#This Row],[Comments]])/Post5[[#This Row],[Impressions]]</f>
        <v>7.1133744304476013E-2</v>
      </c>
      <c r="O135">
        <f>SUM(Post5[[#This Row],[Likes]],Post5[[#This Row],[Shares]],Post5[[#This Row],[Comments]])</f>
        <v>3981</v>
      </c>
    </row>
    <row r="136" spans="1:15" x14ac:dyDescent="0.25">
      <c r="A136" t="s">
        <v>177</v>
      </c>
      <c r="B136" t="s">
        <v>8</v>
      </c>
      <c r="C136" s="1">
        <v>45624</v>
      </c>
      <c r="D136" t="s">
        <v>28</v>
      </c>
      <c r="E136" t="s">
        <v>29</v>
      </c>
      <c r="F136">
        <v>4213</v>
      </c>
      <c r="G136">
        <v>253</v>
      </c>
      <c r="H136">
        <v>434</v>
      </c>
      <c r="I136">
        <v>75834</v>
      </c>
      <c r="J136">
        <v>75437</v>
      </c>
      <c r="K136">
        <v>272</v>
      </c>
      <c r="L136" t="s">
        <v>42</v>
      </c>
      <c r="M136" t="s">
        <v>38</v>
      </c>
      <c r="N136" s="7">
        <f>(Post5[[#This Row],[Likes]]+Post5[[#This Row],[Shares]]+Post5[[#This Row],[Comments]])/Post5[[#This Row],[Impressions]]</f>
        <v>6.461481657304112E-2</v>
      </c>
      <c r="O136">
        <f>SUM(Post5[[#This Row],[Likes]],Post5[[#This Row],[Shares]],Post5[[#This Row],[Comments]])</f>
        <v>4900</v>
      </c>
    </row>
    <row r="137" spans="1:15" x14ac:dyDescent="0.25">
      <c r="A137" t="s">
        <v>178</v>
      </c>
      <c r="B137" t="s">
        <v>7</v>
      </c>
      <c r="C137" s="1">
        <v>45484</v>
      </c>
      <c r="D137" t="s">
        <v>28</v>
      </c>
      <c r="E137" t="s">
        <v>29</v>
      </c>
      <c r="F137">
        <v>3134</v>
      </c>
      <c r="G137">
        <v>888</v>
      </c>
      <c r="H137">
        <v>444</v>
      </c>
      <c r="I137">
        <v>21938</v>
      </c>
      <c r="J137">
        <v>21337</v>
      </c>
      <c r="K137">
        <v>130</v>
      </c>
      <c r="L137" t="s">
        <v>25</v>
      </c>
      <c r="M137" t="s">
        <v>49</v>
      </c>
      <c r="N137" s="7">
        <f>(Post5[[#This Row],[Likes]]+Post5[[#This Row],[Shares]]+Post5[[#This Row],[Comments]])/Post5[[#This Row],[Impressions]]</f>
        <v>0.20357370772176134</v>
      </c>
      <c r="O137">
        <f>SUM(Post5[[#This Row],[Likes]],Post5[[#This Row],[Shares]],Post5[[#This Row],[Comments]])</f>
        <v>4466</v>
      </c>
    </row>
    <row r="138" spans="1:15" x14ac:dyDescent="0.25">
      <c r="A138" t="s">
        <v>179</v>
      </c>
      <c r="B138" t="s">
        <v>8</v>
      </c>
      <c r="C138" s="1">
        <v>45504</v>
      </c>
      <c r="D138" t="s">
        <v>55</v>
      </c>
      <c r="E138" t="s">
        <v>56</v>
      </c>
      <c r="F138">
        <v>3008</v>
      </c>
      <c r="G138">
        <v>94</v>
      </c>
      <c r="H138">
        <v>37</v>
      </c>
      <c r="I138">
        <v>15040</v>
      </c>
      <c r="J138">
        <v>14639</v>
      </c>
      <c r="K138">
        <v>277</v>
      </c>
      <c r="L138" t="s">
        <v>57</v>
      </c>
      <c r="M138" t="s">
        <v>26</v>
      </c>
      <c r="N138" s="7">
        <f>(Post5[[#This Row],[Likes]]+Post5[[#This Row],[Shares]]+Post5[[#This Row],[Comments]])/Post5[[#This Row],[Impressions]]</f>
        <v>0.20871010638297871</v>
      </c>
      <c r="O138">
        <f>SUM(Post5[[#This Row],[Likes]],Post5[[#This Row],[Shares]],Post5[[#This Row],[Comments]])</f>
        <v>3139</v>
      </c>
    </row>
    <row r="139" spans="1:15" x14ac:dyDescent="0.25">
      <c r="A139" t="s">
        <v>180</v>
      </c>
      <c r="B139" t="s">
        <v>9</v>
      </c>
      <c r="C139" s="1">
        <v>45745</v>
      </c>
      <c r="D139" t="s">
        <v>45</v>
      </c>
      <c r="E139" t="s">
        <v>46</v>
      </c>
      <c r="F139">
        <v>305</v>
      </c>
      <c r="G139">
        <v>187</v>
      </c>
      <c r="H139">
        <v>243</v>
      </c>
      <c r="I139">
        <v>4575</v>
      </c>
      <c r="J139">
        <v>3704</v>
      </c>
      <c r="K139">
        <v>234</v>
      </c>
      <c r="L139" t="s">
        <v>30</v>
      </c>
      <c r="M139" t="s">
        <v>49</v>
      </c>
      <c r="N139" s="7">
        <f>(Post5[[#This Row],[Likes]]+Post5[[#This Row],[Shares]]+Post5[[#This Row],[Comments]])/Post5[[#This Row],[Impressions]]</f>
        <v>0.16065573770491803</v>
      </c>
      <c r="O139">
        <f>SUM(Post5[[#This Row],[Likes]],Post5[[#This Row],[Shares]],Post5[[#This Row],[Comments]])</f>
        <v>735</v>
      </c>
    </row>
    <row r="140" spans="1:15" x14ac:dyDescent="0.25">
      <c r="A140" t="s">
        <v>181</v>
      </c>
      <c r="B140" t="s">
        <v>10</v>
      </c>
      <c r="C140" s="1">
        <v>45594</v>
      </c>
      <c r="D140" t="s">
        <v>28</v>
      </c>
      <c r="E140" t="s">
        <v>29</v>
      </c>
      <c r="F140">
        <v>2746</v>
      </c>
      <c r="G140">
        <v>156</v>
      </c>
      <c r="H140">
        <v>203</v>
      </c>
      <c r="I140">
        <v>32952</v>
      </c>
      <c r="J140">
        <v>32147</v>
      </c>
      <c r="K140">
        <v>147</v>
      </c>
      <c r="L140" t="s">
        <v>30</v>
      </c>
      <c r="M140" t="s">
        <v>31</v>
      </c>
      <c r="N140" s="7">
        <f>(Post5[[#This Row],[Likes]]+Post5[[#This Row],[Shares]]+Post5[[#This Row],[Comments]])/Post5[[#This Row],[Impressions]]</f>
        <v>9.422796795338674E-2</v>
      </c>
      <c r="O140">
        <f>SUM(Post5[[#This Row],[Likes]],Post5[[#This Row],[Shares]],Post5[[#This Row],[Comments]])</f>
        <v>3105</v>
      </c>
    </row>
    <row r="141" spans="1:15" x14ac:dyDescent="0.25">
      <c r="A141" t="s">
        <v>182</v>
      </c>
      <c r="B141" t="s">
        <v>8</v>
      </c>
      <c r="C141" s="1">
        <v>45488</v>
      </c>
      <c r="D141" t="s">
        <v>45</v>
      </c>
      <c r="E141" t="s">
        <v>46</v>
      </c>
      <c r="F141">
        <v>2291</v>
      </c>
      <c r="G141">
        <v>78</v>
      </c>
      <c r="H141">
        <v>485</v>
      </c>
      <c r="I141">
        <v>18328</v>
      </c>
      <c r="J141">
        <v>18101</v>
      </c>
      <c r="K141">
        <v>10</v>
      </c>
      <c r="L141" t="s">
        <v>57</v>
      </c>
      <c r="M141" t="s">
        <v>26</v>
      </c>
      <c r="N141" s="7">
        <f>(Post5[[#This Row],[Likes]]+Post5[[#This Row],[Shares]]+Post5[[#This Row],[Comments]])/Post5[[#This Row],[Impressions]]</f>
        <v>0.15571802706241816</v>
      </c>
      <c r="O141">
        <f>SUM(Post5[[#This Row],[Likes]],Post5[[#This Row],[Shares]],Post5[[#This Row],[Comments]])</f>
        <v>2854</v>
      </c>
    </row>
    <row r="142" spans="1:15" x14ac:dyDescent="0.25">
      <c r="A142" t="s">
        <v>183</v>
      </c>
      <c r="B142" t="s">
        <v>9</v>
      </c>
      <c r="C142" s="1">
        <v>45535</v>
      </c>
      <c r="D142" t="s">
        <v>45</v>
      </c>
      <c r="E142" t="s">
        <v>46</v>
      </c>
      <c r="F142">
        <v>3170</v>
      </c>
      <c r="G142">
        <v>857</v>
      </c>
      <c r="H142">
        <v>379</v>
      </c>
      <c r="I142">
        <v>19020</v>
      </c>
      <c r="J142">
        <v>18559</v>
      </c>
      <c r="K142">
        <v>240</v>
      </c>
      <c r="L142" t="s">
        <v>25</v>
      </c>
      <c r="M142" t="s">
        <v>38</v>
      </c>
      <c r="N142" s="7">
        <f>(Post5[[#This Row],[Likes]]+Post5[[#This Row],[Shares]]+Post5[[#This Row],[Comments]])/Post5[[#This Row],[Impressions]]</f>
        <v>0.2316508937960042</v>
      </c>
      <c r="O142">
        <f>SUM(Post5[[#This Row],[Likes]],Post5[[#This Row],[Shares]],Post5[[#This Row],[Comments]])</f>
        <v>4406</v>
      </c>
    </row>
    <row r="143" spans="1:15" x14ac:dyDescent="0.25">
      <c r="A143" t="s">
        <v>184</v>
      </c>
      <c r="B143" t="s">
        <v>10</v>
      </c>
      <c r="C143" s="1">
        <v>45741</v>
      </c>
      <c r="D143" t="s">
        <v>34</v>
      </c>
      <c r="E143" t="s">
        <v>35</v>
      </c>
      <c r="F143">
        <v>2070</v>
      </c>
      <c r="G143">
        <v>275</v>
      </c>
      <c r="H143">
        <v>386</v>
      </c>
      <c r="I143">
        <v>39330</v>
      </c>
      <c r="J143">
        <v>38627</v>
      </c>
      <c r="K143">
        <v>114</v>
      </c>
      <c r="L143" t="s">
        <v>25</v>
      </c>
      <c r="M143" t="s">
        <v>49</v>
      </c>
      <c r="N143" s="7">
        <f>(Post5[[#This Row],[Likes]]+Post5[[#This Row],[Shares]]+Post5[[#This Row],[Comments]])/Post5[[#This Row],[Impressions]]</f>
        <v>6.9438087973557078E-2</v>
      </c>
      <c r="O143">
        <f>SUM(Post5[[#This Row],[Likes]],Post5[[#This Row],[Shares]],Post5[[#This Row],[Comments]])</f>
        <v>2731</v>
      </c>
    </row>
    <row r="144" spans="1:15" x14ac:dyDescent="0.25">
      <c r="A144" t="s">
        <v>185</v>
      </c>
      <c r="B144" t="s">
        <v>10</v>
      </c>
      <c r="C144" s="1">
        <v>45567</v>
      </c>
      <c r="D144" t="s">
        <v>40</v>
      </c>
      <c r="E144" t="s">
        <v>41</v>
      </c>
      <c r="F144">
        <v>80</v>
      </c>
      <c r="G144">
        <v>362</v>
      </c>
      <c r="H144">
        <v>80</v>
      </c>
      <c r="I144">
        <v>1040</v>
      </c>
      <c r="J144">
        <v>349</v>
      </c>
      <c r="K144">
        <v>117</v>
      </c>
      <c r="L144" t="s">
        <v>30</v>
      </c>
      <c r="M144" t="s">
        <v>31</v>
      </c>
      <c r="N144" s="7">
        <f>(Post5[[#This Row],[Likes]]+Post5[[#This Row],[Shares]]+Post5[[#This Row],[Comments]])/Post5[[#This Row],[Impressions]]</f>
        <v>0.50192307692307692</v>
      </c>
      <c r="O144">
        <f>SUM(Post5[[#This Row],[Likes]],Post5[[#This Row],[Shares]],Post5[[#This Row],[Comments]])</f>
        <v>522</v>
      </c>
    </row>
    <row r="145" spans="1:15" x14ac:dyDescent="0.25">
      <c r="A145" t="s">
        <v>186</v>
      </c>
      <c r="B145" t="s">
        <v>10</v>
      </c>
      <c r="C145" s="1">
        <v>45593</v>
      </c>
      <c r="D145" t="s">
        <v>34</v>
      </c>
      <c r="E145" t="s">
        <v>35</v>
      </c>
      <c r="F145">
        <v>4929</v>
      </c>
      <c r="G145">
        <v>749</v>
      </c>
      <c r="H145">
        <v>452</v>
      </c>
      <c r="I145">
        <v>93651</v>
      </c>
      <c r="J145">
        <v>92810</v>
      </c>
      <c r="K145">
        <v>66</v>
      </c>
      <c r="L145" t="s">
        <v>42</v>
      </c>
      <c r="M145" t="s">
        <v>26</v>
      </c>
      <c r="N145" s="7">
        <f>(Post5[[#This Row],[Likes]]+Post5[[#This Row],[Shares]]+Post5[[#This Row],[Comments]])/Post5[[#This Row],[Impressions]]</f>
        <v>6.5455787978772245E-2</v>
      </c>
      <c r="O145">
        <f>SUM(Post5[[#This Row],[Likes]],Post5[[#This Row],[Shares]],Post5[[#This Row],[Comments]])</f>
        <v>6130</v>
      </c>
    </row>
    <row r="146" spans="1:15" x14ac:dyDescent="0.25">
      <c r="A146" t="s">
        <v>187</v>
      </c>
      <c r="B146" t="s">
        <v>7</v>
      </c>
      <c r="C146" s="1">
        <v>45516</v>
      </c>
      <c r="D146" t="s">
        <v>40</v>
      </c>
      <c r="E146" t="s">
        <v>41</v>
      </c>
      <c r="F146">
        <v>1878</v>
      </c>
      <c r="G146">
        <v>62</v>
      </c>
      <c r="H146">
        <v>179</v>
      </c>
      <c r="I146">
        <v>37560</v>
      </c>
      <c r="J146">
        <v>36874</v>
      </c>
      <c r="K146">
        <v>142</v>
      </c>
      <c r="L146" t="s">
        <v>57</v>
      </c>
      <c r="M146" t="s">
        <v>26</v>
      </c>
      <c r="N146" s="7">
        <f>(Post5[[#This Row],[Likes]]+Post5[[#This Row],[Shares]]+Post5[[#This Row],[Comments]])/Post5[[#This Row],[Impressions]]</f>
        <v>5.6416400425985093E-2</v>
      </c>
      <c r="O146">
        <f>SUM(Post5[[#This Row],[Likes]],Post5[[#This Row],[Shares]],Post5[[#This Row],[Comments]])</f>
        <v>2119</v>
      </c>
    </row>
    <row r="147" spans="1:15" x14ac:dyDescent="0.25">
      <c r="A147" t="s">
        <v>188</v>
      </c>
      <c r="B147" t="s">
        <v>10</v>
      </c>
      <c r="C147" s="1">
        <v>45448</v>
      </c>
      <c r="D147" t="s">
        <v>23</v>
      </c>
      <c r="E147" t="s">
        <v>24</v>
      </c>
      <c r="F147">
        <v>3065</v>
      </c>
      <c r="G147">
        <v>772</v>
      </c>
      <c r="H147">
        <v>142</v>
      </c>
      <c r="I147">
        <v>18390</v>
      </c>
      <c r="J147">
        <v>17875</v>
      </c>
      <c r="K147">
        <v>200</v>
      </c>
      <c r="L147" t="s">
        <v>37</v>
      </c>
      <c r="M147" t="s">
        <v>26</v>
      </c>
      <c r="N147" s="7">
        <f>(Post5[[#This Row],[Likes]]+Post5[[#This Row],[Shares]]+Post5[[#This Row],[Comments]])/Post5[[#This Row],[Impressions]]</f>
        <v>0.21636759108210984</v>
      </c>
      <c r="O147">
        <f>SUM(Post5[[#This Row],[Likes]],Post5[[#This Row],[Shares]],Post5[[#This Row],[Comments]])</f>
        <v>3979</v>
      </c>
    </row>
    <row r="148" spans="1:15" x14ac:dyDescent="0.25">
      <c r="A148" t="s">
        <v>189</v>
      </c>
      <c r="B148" t="s">
        <v>7</v>
      </c>
      <c r="C148" s="1">
        <v>45586</v>
      </c>
      <c r="D148" t="s">
        <v>23</v>
      </c>
      <c r="E148" t="s">
        <v>24</v>
      </c>
      <c r="F148">
        <v>3256</v>
      </c>
      <c r="G148">
        <v>459</v>
      </c>
      <c r="H148">
        <v>266</v>
      </c>
      <c r="I148">
        <v>26048</v>
      </c>
      <c r="J148">
        <v>25529</v>
      </c>
      <c r="K148">
        <v>143</v>
      </c>
      <c r="L148" t="s">
        <v>25</v>
      </c>
      <c r="M148" t="s">
        <v>38</v>
      </c>
      <c r="N148" s="7">
        <f>(Post5[[#This Row],[Likes]]+Post5[[#This Row],[Shares]]+Post5[[#This Row],[Comments]])/Post5[[#This Row],[Impressions]]</f>
        <v>0.15283323095823095</v>
      </c>
      <c r="O148">
        <f>SUM(Post5[[#This Row],[Likes]],Post5[[#This Row],[Shares]],Post5[[#This Row],[Comments]])</f>
        <v>3981</v>
      </c>
    </row>
    <row r="149" spans="1:15" x14ac:dyDescent="0.25">
      <c r="A149" t="s">
        <v>190</v>
      </c>
      <c r="B149" t="s">
        <v>7</v>
      </c>
      <c r="C149" s="1">
        <v>45762</v>
      </c>
      <c r="D149" t="s">
        <v>55</v>
      </c>
      <c r="E149" t="s">
        <v>56</v>
      </c>
      <c r="F149">
        <v>4133</v>
      </c>
      <c r="G149">
        <v>466</v>
      </c>
      <c r="H149">
        <v>327</v>
      </c>
      <c r="I149">
        <v>24798</v>
      </c>
      <c r="J149">
        <v>24620</v>
      </c>
      <c r="K149">
        <v>176</v>
      </c>
      <c r="L149" t="s">
        <v>37</v>
      </c>
      <c r="M149" t="s">
        <v>31</v>
      </c>
      <c r="N149" s="7">
        <f>(Post5[[#This Row],[Likes]]+Post5[[#This Row],[Shares]]+Post5[[#This Row],[Comments]])/Post5[[#This Row],[Impressions]]</f>
        <v>0.19864505202032423</v>
      </c>
      <c r="O149">
        <f>SUM(Post5[[#This Row],[Likes]],Post5[[#This Row],[Shares]],Post5[[#This Row],[Comments]])</f>
        <v>4926</v>
      </c>
    </row>
    <row r="150" spans="1:15" x14ac:dyDescent="0.25">
      <c r="A150" t="s">
        <v>191</v>
      </c>
      <c r="B150" t="s">
        <v>9</v>
      </c>
      <c r="C150" s="1">
        <v>45459</v>
      </c>
      <c r="D150" t="s">
        <v>55</v>
      </c>
      <c r="E150" t="s">
        <v>56</v>
      </c>
      <c r="F150">
        <v>1702</v>
      </c>
      <c r="G150">
        <v>750</v>
      </c>
      <c r="H150">
        <v>179</v>
      </c>
      <c r="I150">
        <v>34040</v>
      </c>
      <c r="J150">
        <v>33174</v>
      </c>
      <c r="K150">
        <v>76</v>
      </c>
      <c r="L150" t="s">
        <v>42</v>
      </c>
      <c r="M150" t="s">
        <v>38</v>
      </c>
      <c r="N150" s="7">
        <f>(Post5[[#This Row],[Likes]]+Post5[[#This Row],[Shares]]+Post5[[#This Row],[Comments]])/Post5[[#This Row],[Impressions]]</f>
        <v>7.7291421856639245E-2</v>
      </c>
      <c r="O150">
        <f>SUM(Post5[[#This Row],[Likes]],Post5[[#This Row],[Shares]],Post5[[#This Row],[Comments]])</f>
        <v>2631</v>
      </c>
    </row>
    <row r="151" spans="1:15" x14ac:dyDescent="0.25">
      <c r="A151" t="s">
        <v>192</v>
      </c>
      <c r="B151" t="s">
        <v>10</v>
      </c>
      <c r="C151" s="1">
        <v>45526</v>
      </c>
      <c r="D151" t="s">
        <v>40</v>
      </c>
      <c r="E151" t="s">
        <v>41</v>
      </c>
      <c r="F151">
        <v>4295</v>
      </c>
      <c r="G151">
        <v>853</v>
      </c>
      <c r="H151">
        <v>325</v>
      </c>
      <c r="I151">
        <v>85900</v>
      </c>
      <c r="J151">
        <v>85788</v>
      </c>
      <c r="K151">
        <v>290</v>
      </c>
      <c r="L151" t="s">
        <v>42</v>
      </c>
      <c r="M151" t="s">
        <v>31</v>
      </c>
      <c r="N151" s="7">
        <f>(Post5[[#This Row],[Likes]]+Post5[[#This Row],[Shares]]+Post5[[#This Row],[Comments]])/Post5[[#This Row],[Impressions]]</f>
        <v>6.3713620488940623E-2</v>
      </c>
      <c r="O151">
        <f>SUM(Post5[[#This Row],[Likes]],Post5[[#This Row],[Shares]],Post5[[#This Row],[Comments]])</f>
        <v>5473</v>
      </c>
    </row>
    <row r="152" spans="1:15" x14ac:dyDescent="0.25">
      <c r="A152" t="s">
        <v>193</v>
      </c>
      <c r="B152" t="s">
        <v>7</v>
      </c>
      <c r="C152" s="1">
        <v>45499</v>
      </c>
      <c r="D152" t="s">
        <v>45</v>
      </c>
      <c r="E152" t="s">
        <v>46</v>
      </c>
      <c r="F152">
        <v>3559</v>
      </c>
      <c r="G152">
        <v>59</v>
      </c>
      <c r="H152">
        <v>289</v>
      </c>
      <c r="I152">
        <v>35590</v>
      </c>
      <c r="J152">
        <v>35105</v>
      </c>
      <c r="K152">
        <v>122</v>
      </c>
      <c r="L152" t="s">
        <v>42</v>
      </c>
      <c r="M152" t="s">
        <v>38</v>
      </c>
      <c r="N152" s="7">
        <f>(Post5[[#This Row],[Likes]]+Post5[[#This Row],[Shares]]+Post5[[#This Row],[Comments]])/Post5[[#This Row],[Impressions]]</f>
        <v>0.10977802753582468</v>
      </c>
      <c r="O152">
        <f>SUM(Post5[[#This Row],[Likes]],Post5[[#This Row],[Shares]],Post5[[#This Row],[Comments]])</f>
        <v>3907</v>
      </c>
    </row>
    <row r="153" spans="1:15" x14ac:dyDescent="0.25">
      <c r="A153" t="s">
        <v>194</v>
      </c>
      <c r="B153" t="s">
        <v>8</v>
      </c>
      <c r="C153" s="1">
        <v>45769</v>
      </c>
      <c r="D153" t="s">
        <v>45</v>
      </c>
      <c r="E153" t="s">
        <v>46</v>
      </c>
      <c r="F153">
        <v>4804</v>
      </c>
      <c r="G153">
        <v>550</v>
      </c>
      <c r="H153">
        <v>270</v>
      </c>
      <c r="I153">
        <v>28824</v>
      </c>
      <c r="J153">
        <v>28370</v>
      </c>
      <c r="K153">
        <v>47</v>
      </c>
      <c r="L153" t="s">
        <v>25</v>
      </c>
      <c r="M153" t="s">
        <v>49</v>
      </c>
      <c r="N153" s="7">
        <f>(Post5[[#This Row],[Likes]]+Post5[[#This Row],[Shares]]+Post5[[#This Row],[Comments]])/Post5[[#This Row],[Impressions]]</f>
        <v>0.19511518179295032</v>
      </c>
      <c r="O153">
        <f>SUM(Post5[[#This Row],[Likes]],Post5[[#This Row],[Shares]],Post5[[#This Row],[Comments]])</f>
        <v>5624</v>
      </c>
    </row>
    <row r="154" spans="1:15" x14ac:dyDescent="0.25">
      <c r="A154" t="s">
        <v>195</v>
      </c>
      <c r="B154" t="s">
        <v>9</v>
      </c>
      <c r="C154" s="1">
        <v>45658</v>
      </c>
      <c r="D154" t="s">
        <v>55</v>
      </c>
      <c r="E154" t="s">
        <v>56</v>
      </c>
      <c r="F154">
        <v>754</v>
      </c>
      <c r="G154">
        <v>197</v>
      </c>
      <c r="H154">
        <v>257</v>
      </c>
      <c r="I154">
        <v>6786</v>
      </c>
      <c r="J154">
        <v>6221</v>
      </c>
      <c r="K154">
        <v>212</v>
      </c>
      <c r="L154" t="s">
        <v>57</v>
      </c>
      <c r="M154" t="s">
        <v>38</v>
      </c>
      <c r="N154" s="7">
        <f>(Post5[[#This Row],[Likes]]+Post5[[#This Row],[Shares]]+Post5[[#This Row],[Comments]])/Post5[[#This Row],[Impressions]]</f>
        <v>0.17801355732390214</v>
      </c>
      <c r="O154">
        <f>SUM(Post5[[#This Row],[Likes]],Post5[[#This Row],[Shares]],Post5[[#This Row],[Comments]])</f>
        <v>1208</v>
      </c>
    </row>
    <row r="155" spans="1:15" x14ac:dyDescent="0.25">
      <c r="A155" t="s">
        <v>196</v>
      </c>
      <c r="B155" t="s">
        <v>7</v>
      </c>
      <c r="C155" s="1">
        <v>45574</v>
      </c>
      <c r="D155" t="s">
        <v>40</v>
      </c>
      <c r="E155" t="s">
        <v>41</v>
      </c>
      <c r="F155">
        <v>985</v>
      </c>
      <c r="G155">
        <v>932</v>
      </c>
      <c r="H155">
        <v>287</v>
      </c>
      <c r="I155">
        <v>6895</v>
      </c>
      <c r="J155">
        <v>6757</v>
      </c>
      <c r="K155">
        <v>64</v>
      </c>
      <c r="L155" t="s">
        <v>25</v>
      </c>
      <c r="M155" t="s">
        <v>31</v>
      </c>
      <c r="N155" s="7">
        <f>(Post5[[#This Row],[Likes]]+Post5[[#This Row],[Shares]]+Post5[[#This Row],[Comments]])/Post5[[#This Row],[Impressions]]</f>
        <v>0.31965192168237855</v>
      </c>
      <c r="O155">
        <f>SUM(Post5[[#This Row],[Likes]],Post5[[#This Row],[Shares]],Post5[[#This Row],[Comments]])</f>
        <v>2204</v>
      </c>
    </row>
    <row r="156" spans="1:15" x14ac:dyDescent="0.25">
      <c r="A156" t="s">
        <v>197</v>
      </c>
      <c r="B156" t="s">
        <v>10</v>
      </c>
      <c r="C156" s="1">
        <v>45647</v>
      </c>
      <c r="D156" t="s">
        <v>45</v>
      </c>
      <c r="E156" t="s">
        <v>46</v>
      </c>
      <c r="F156">
        <v>2283</v>
      </c>
      <c r="G156">
        <v>210</v>
      </c>
      <c r="H156">
        <v>130</v>
      </c>
      <c r="I156">
        <v>22830</v>
      </c>
      <c r="J156">
        <v>22617</v>
      </c>
      <c r="K156">
        <v>143</v>
      </c>
      <c r="L156" t="s">
        <v>30</v>
      </c>
      <c r="M156" t="s">
        <v>38</v>
      </c>
      <c r="N156" s="7">
        <f>(Post5[[#This Row],[Likes]]+Post5[[#This Row],[Shares]]+Post5[[#This Row],[Comments]])/Post5[[#This Row],[Impressions]]</f>
        <v>0.11489268506351293</v>
      </c>
      <c r="O156">
        <f>SUM(Post5[[#This Row],[Likes]],Post5[[#This Row],[Shares]],Post5[[#This Row],[Comments]])</f>
        <v>2623</v>
      </c>
    </row>
    <row r="157" spans="1:15" x14ac:dyDescent="0.25">
      <c r="A157" t="s">
        <v>198</v>
      </c>
      <c r="B157" t="s">
        <v>8</v>
      </c>
      <c r="C157" s="1">
        <v>45587</v>
      </c>
      <c r="D157" t="s">
        <v>40</v>
      </c>
      <c r="E157" t="s">
        <v>41</v>
      </c>
      <c r="F157">
        <v>3352</v>
      </c>
      <c r="G157">
        <v>941</v>
      </c>
      <c r="H157">
        <v>482</v>
      </c>
      <c r="I157">
        <v>43576</v>
      </c>
      <c r="J157">
        <v>43338</v>
      </c>
      <c r="K157">
        <v>240</v>
      </c>
      <c r="L157" t="s">
        <v>42</v>
      </c>
      <c r="M157" t="s">
        <v>38</v>
      </c>
      <c r="N157" s="7">
        <f>(Post5[[#This Row],[Likes]]+Post5[[#This Row],[Shares]]+Post5[[#This Row],[Comments]])/Post5[[#This Row],[Impressions]]</f>
        <v>0.1095786671562328</v>
      </c>
      <c r="O157">
        <f>SUM(Post5[[#This Row],[Likes]],Post5[[#This Row],[Shares]],Post5[[#This Row],[Comments]])</f>
        <v>4775</v>
      </c>
    </row>
    <row r="158" spans="1:15" x14ac:dyDescent="0.25">
      <c r="A158" t="s">
        <v>199</v>
      </c>
      <c r="B158" t="s">
        <v>10</v>
      </c>
      <c r="C158" s="1">
        <v>45496</v>
      </c>
      <c r="D158" t="s">
        <v>34</v>
      </c>
      <c r="E158" t="s">
        <v>35</v>
      </c>
      <c r="F158">
        <v>4775</v>
      </c>
      <c r="G158">
        <v>173</v>
      </c>
      <c r="H158">
        <v>206</v>
      </c>
      <c r="I158">
        <v>47750</v>
      </c>
      <c r="J158">
        <v>47544</v>
      </c>
      <c r="K158">
        <v>187</v>
      </c>
      <c r="L158" t="s">
        <v>37</v>
      </c>
      <c r="M158" t="s">
        <v>49</v>
      </c>
      <c r="N158" s="7">
        <f>(Post5[[#This Row],[Likes]]+Post5[[#This Row],[Shares]]+Post5[[#This Row],[Comments]])/Post5[[#This Row],[Impressions]]</f>
        <v>0.10793717277486911</v>
      </c>
      <c r="O158">
        <f>SUM(Post5[[#This Row],[Likes]],Post5[[#This Row],[Shares]],Post5[[#This Row],[Comments]])</f>
        <v>5154</v>
      </c>
    </row>
    <row r="159" spans="1:15" x14ac:dyDescent="0.25">
      <c r="A159" t="s">
        <v>200</v>
      </c>
      <c r="B159" t="s">
        <v>7</v>
      </c>
      <c r="C159" s="1">
        <v>45515</v>
      </c>
      <c r="D159" t="s">
        <v>34</v>
      </c>
      <c r="E159" t="s">
        <v>35</v>
      </c>
      <c r="F159">
        <v>1762</v>
      </c>
      <c r="G159">
        <v>405</v>
      </c>
      <c r="H159">
        <v>423</v>
      </c>
      <c r="I159">
        <v>22906</v>
      </c>
      <c r="J159">
        <v>21925</v>
      </c>
      <c r="K159">
        <v>25</v>
      </c>
      <c r="L159" t="s">
        <v>57</v>
      </c>
      <c r="M159" t="s">
        <v>31</v>
      </c>
      <c r="N159" s="7">
        <f>(Post5[[#This Row],[Likes]]+Post5[[#This Row],[Shares]]+Post5[[#This Row],[Comments]])/Post5[[#This Row],[Impressions]]</f>
        <v>0.11307081114118571</v>
      </c>
      <c r="O159">
        <f>SUM(Post5[[#This Row],[Likes]],Post5[[#This Row],[Shares]],Post5[[#This Row],[Comments]])</f>
        <v>2590</v>
      </c>
    </row>
    <row r="160" spans="1:15" x14ac:dyDescent="0.25">
      <c r="A160" t="s">
        <v>201</v>
      </c>
      <c r="B160" t="s">
        <v>8</v>
      </c>
      <c r="C160" s="1">
        <v>45621</v>
      </c>
      <c r="D160" t="s">
        <v>34</v>
      </c>
      <c r="E160" t="s">
        <v>35</v>
      </c>
      <c r="F160">
        <v>2120</v>
      </c>
      <c r="G160">
        <v>158</v>
      </c>
      <c r="H160">
        <v>488</v>
      </c>
      <c r="I160">
        <v>12720</v>
      </c>
      <c r="J160">
        <v>12085</v>
      </c>
      <c r="K160">
        <v>17</v>
      </c>
      <c r="L160" t="s">
        <v>37</v>
      </c>
      <c r="M160" t="s">
        <v>31</v>
      </c>
      <c r="N160" s="7">
        <f>(Post5[[#This Row],[Likes]]+Post5[[#This Row],[Shares]]+Post5[[#This Row],[Comments]])/Post5[[#This Row],[Impressions]]</f>
        <v>0.21745283018867925</v>
      </c>
      <c r="O160">
        <f>SUM(Post5[[#This Row],[Likes]],Post5[[#This Row],[Shares]],Post5[[#This Row],[Comments]])</f>
        <v>2766</v>
      </c>
    </row>
    <row r="161" spans="1:15" x14ac:dyDescent="0.25">
      <c r="A161" t="s">
        <v>202</v>
      </c>
      <c r="B161" t="s">
        <v>9</v>
      </c>
      <c r="C161" s="1">
        <v>45528</v>
      </c>
      <c r="D161" t="s">
        <v>55</v>
      </c>
      <c r="E161" t="s">
        <v>56</v>
      </c>
      <c r="F161">
        <v>1082</v>
      </c>
      <c r="G161">
        <v>209</v>
      </c>
      <c r="H161">
        <v>484</v>
      </c>
      <c r="I161">
        <v>19476</v>
      </c>
      <c r="J161">
        <v>18654</v>
      </c>
      <c r="K161">
        <v>20</v>
      </c>
      <c r="L161" t="s">
        <v>37</v>
      </c>
      <c r="M161" t="s">
        <v>49</v>
      </c>
      <c r="N161" s="7">
        <f>(Post5[[#This Row],[Likes]]+Post5[[#This Row],[Shares]]+Post5[[#This Row],[Comments]])/Post5[[#This Row],[Impressions]]</f>
        <v>9.1137810638734856E-2</v>
      </c>
      <c r="O161">
        <f>SUM(Post5[[#This Row],[Likes]],Post5[[#This Row],[Shares]],Post5[[#This Row],[Comments]])</f>
        <v>1775</v>
      </c>
    </row>
    <row r="162" spans="1:15" x14ac:dyDescent="0.25">
      <c r="A162" t="s">
        <v>203</v>
      </c>
      <c r="B162" t="s">
        <v>9</v>
      </c>
      <c r="C162" s="1">
        <v>45707</v>
      </c>
      <c r="D162" t="s">
        <v>28</v>
      </c>
      <c r="E162" t="s">
        <v>29</v>
      </c>
      <c r="F162">
        <v>4671</v>
      </c>
      <c r="G162">
        <v>876</v>
      </c>
      <c r="H162">
        <v>366</v>
      </c>
      <c r="I162">
        <v>51381</v>
      </c>
      <c r="J162">
        <v>50565</v>
      </c>
      <c r="K162">
        <v>245</v>
      </c>
      <c r="L162" t="s">
        <v>25</v>
      </c>
      <c r="M162" t="s">
        <v>31</v>
      </c>
      <c r="N162" s="7">
        <f>(Post5[[#This Row],[Likes]]+Post5[[#This Row],[Shares]]+Post5[[#This Row],[Comments]])/Post5[[#This Row],[Impressions]]</f>
        <v>0.11508145034156594</v>
      </c>
      <c r="O162">
        <f>SUM(Post5[[#This Row],[Likes]],Post5[[#This Row],[Shares]],Post5[[#This Row],[Comments]])</f>
        <v>5913</v>
      </c>
    </row>
    <row r="163" spans="1:15" x14ac:dyDescent="0.25">
      <c r="A163" t="s">
        <v>204</v>
      </c>
      <c r="B163" t="s">
        <v>8</v>
      </c>
      <c r="C163" s="1">
        <v>45748</v>
      </c>
      <c r="D163" t="s">
        <v>34</v>
      </c>
      <c r="E163" t="s">
        <v>35</v>
      </c>
      <c r="F163">
        <v>3430</v>
      </c>
      <c r="G163">
        <v>566</v>
      </c>
      <c r="H163">
        <v>164</v>
      </c>
      <c r="I163">
        <v>48020</v>
      </c>
      <c r="J163">
        <v>47305</v>
      </c>
      <c r="K163">
        <v>120</v>
      </c>
      <c r="L163" t="s">
        <v>42</v>
      </c>
      <c r="M163" t="s">
        <v>31</v>
      </c>
      <c r="N163" s="7">
        <f>(Post5[[#This Row],[Likes]]+Post5[[#This Row],[Shares]]+Post5[[#This Row],[Comments]])/Post5[[#This Row],[Impressions]]</f>
        <v>8.6630570595585168E-2</v>
      </c>
      <c r="O163">
        <f>SUM(Post5[[#This Row],[Likes]],Post5[[#This Row],[Shares]],Post5[[#This Row],[Comments]])</f>
        <v>4160</v>
      </c>
    </row>
    <row r="164" spans="1:15" x14ac:dyDescent="0.25">
      <c r="A164" t="s">
        <v>205</v>
      </c>
      <c r="B164" t="s">
        <v>7</v>
      </c>
      <c r="C164" s="1">
        <v>45755</v>
      </c>
      <c r="D164" t="s">
        <v>45</v>
      </c>
      <c r="E164" t="s">
        <v>46</v>
      </c>
      <c r="F164">
        <v>4501</v>
      </c>
      <c r="G164">
        <v>375</v>
      </c>
      <c r="H164">
        <v>323</v>
      </c>
      <c r="I164">
        <v>22505</v>
      </c>
      <c r="J164">
        <v>21836</v>
      </c>
      <c r="K164">
        <v>132</v>
      </c>
      <c r="L164" t="s">
        <v>30</v>
      </c>
      <c r="M164" t="s">
        <v>49</v>
      </c>
      <c r="N164" s="7">
        <f>(Post5[[#This Row],[Likes]]+Post5[[#This Row],[Shares]]+Post5[[#This Row],[Comments]])/Post5[[#This Row],[Impressions]]</f>
        <v>0.23101532992668297</v>
      </c>
      <c r="O164">
        <f>SUM(Post5[[#This Row],[Likes]],Post5[[#This Row],[Shares]],Post5[[#This Row],[Comments]])</f>
        <v>5199</v>
      </c>
    </row>
    <row r="165" spans="1:15" x14ac:dyDescent="0.25">
      <c r="A165" t="s">
        <v>206</v>
      </c>
      <c r="B165" t="s">
        <v>10</v>
      </c>
      <c r="C165" s="1">
        <v>45715</v>
      </c>
      <c r="D165" t="s">
        <v>28</v>
      </c>
      <c r="E165" t="s">
        <v>29</v>
      </c>
      <c r="F165">
        <v>4934</v>
      </c>
      <c r="G165">
        <v>971</v>
      </c>
      <c r="H165">
        <v>156</v>
      </c>
      <c r="I165">
        <v>39472</v>
      </c>
      <c r="J165">
        <v>39025</v>
      </c>
      <c r="K165">
        <v>169</v>
      </c>
      <c r="L165" t="s">
        <v>57</v>
      </c>
      <c r="M165" t="s">
        <v>31</v>
      </c>
      <c r="N165" s="7">
        <f>(Post5[[#This Row],[Likes]]+Post5[[#This Row],[Shares]]+Post5[[#This Row],[Comments]])/Post5[[#This Row],[Impressions]]</f>
        <v>0.15355188488042157</v>
      </c>
      <c r="O165">
        <f>SUM(Post5[[#This Row],[Likes]],Post5[[#This Row],[Shares]],Post5[[#This Row],[Comments]])</f>
        <v>6061</v>
      </c>
    </row>
    <row r="166" spans="1:15" x14ac:dyDescent="0.25">
      <c r="A166" t="s">
        <v>207</v>
      </c>
      <c r="B166" t="s">
        <v>9</v>
      </c>
      <c r="C166" s="1">
        <v>45637</v>
      </c>
      <c r="D166" t="s">
        <v>28</v>
      </c>
      <c r="E166" t="s">
        <v>29</v>
      </c>
      <c r="F166">
        <v>3239</v>
      </c>
      <c r="G166">
        <v>43</v>
      </c>
      <c r="H166">
        <v>211</v>
      </c>
      <c r="I166">
        <v>22673</v>
      </c>
      <c r="J166">
        <v>22171</v>
      </c>
      <c r="K166">
        <v>230</v>
      </c>
      <c r="L166" t="s">
        <v>42</v>
      </c>
      <c r="M166" t="s">
        <v>31</v>
      </c>
      <c r="N166" s="7">
        <f>(Post5[[#This Row],[Likes]]+Post5[[#This Row],[Shares]]+Post5[[#This Row],[Comments]])/Post5[[#This Row],[Impressions]]</f>
        <v>0.15405989502933004</v>
      </c>
      <c r="O166">
        <f>SUM(Post5[[#This Row],[Likes]],Post5[[#This Row],[Shares]],Post5[[#This Row],[Comments]])</f>
        <v>3493</v>
      </c>
    </row>
    <row r="167" spans="1:15" x14ac:dyDescent="0.25">
      <c r="A167" t="s">
        <v>208</v>
      </c>
      <c r="B167" t="s">
        <v>9</v>
      </c>
      <c r="C167" s="1">
        <v>45704</v>
      </c>
      <c r="D167" t="s">
        <v>23</v>
      </c>
      <c r="E167" t="s">
        <v>24</v>
      </c>
      <c r="F167">
        <v>1076</v>
      </c>
      <c r="G167">
        <v>313</v>
      </c>
      <c r="H167">
        <v>306</v>
      </c>
      <c r="I167">
        <v>11836</v>
      </c>
      <c r="J167">
        <v>11596</v>
      </c>
      <c r="K167">
        <v>104</v>
      </c>
      <c r="L167" t="s">
        <v>57</v>
      </c>
      <c r="M167" t="s">
        <v>31</v>
      </c>
      <c r="N167" s="7">
        <f>(Post5[[#This Row],[Likes]]+Post5[[#This Row],[Shares]]+Post5[[#This Row],[Comments]])/Post5[[#This Row],[Impressions]]</f>
        <v>0.14320716458262928</v>
      </c>
      <c r="O167">
        <f>SUM(Post5[[#This Row],[Likes]],Post5[[#This Row],[Shares]],Post5[[#This Row],[Comments]])</f>
        <v>1695</v>
      </c>
    </row>
    <row r="168" spans="1:15" x14ac:dyDescent="0.25">
      <c r="A168" t="s">
        <v>209</v>
      </c>
      <c r="B168" t="s">
        <v>7</v>
      </c>
      <c r="C168" s="1">
        <v>45624</v>
      </c>
      <c r="D168" t="s">
        <v>28</v>
      </c>
      <c r="E168" t="s">
        <v>29</v>
      </c>
      <c r="F168">
        <v>4771</v>
      </c>
      <c r="G168">
        <v>818</v>
      </c>
      <c r="H168">
        <v>56</v>
      </c>
      <c r="I168">
        <v>57252</v>
      </c>
      <c r="J168">
        <v>56378</v>
      </c>
      <c r="K168">
        <v>150</v>
      </c>
      <c r="L168" t="s">
        <v>25</v>
      </c>
      <c r="M168" t="s">
        <v>31</v>
      </c>
      <c r="N168" s="7">
        <f>(Post5[[#This Row],[Likes]]+Post5[[#This Row],[Shares]]+Post5[[#This Row],[Comments]])/Post5[[#This Row],[Impressions]]</f>
        <v>9.859917557465242E-2</v>
      </c>
      <c r="O168">
        <f>SUM(Post5[[#This Row],[Likes]],Post5[[#This Row],[Shares]],Post5[[#This Row],[Comments]])</f>
        <v>5645</v>
      </c>
    </row>
    <row r="169" spans="1:15" x14ac:dyDescent="0.25">
      <c r="A169" t="s">
        <v>210</v>
      </c>
      <c r="B169" t="s">
        <v>8</v>
      </c>
      <c r="C169" s="1">
        <v>45608</v>
      </c>
      <c r="D169" t="s">
        <v>28</v>
      </c>
      <c r="E169" t="s">
        <v>29</v>
      </c>
      <c r="F169">
        <v>2418</v>
      </c>
      <c r="G169">
        <v>754</v>
      </c>
      <c r="H169">
        <v>54</v>
      </c>
      <c r="I169">
        <v>43524</v>
      </c>
      <c r="J169">
        <v>42743</v>
      </c>
      <c r="K169">
        <v>182</v>
      </c>
      <c r="L169" t="s">
        <v>30</v>
      </c>
      <c r="M169" t="s">
        <v>49</v>
      </c>
      <c r="N169" s="7">
        <f>(Post5[[#This Row],[Likes]]+Post5[[#This Row],[Shares]]+Post5[[#This Row],[Comments]])/Post5[[#This Row],[Impressions]]</f>
        <v>7.412002573292896E-2</v>
      </c>
      <c r="O169">
        <f>SUM(Post5[[#This Row],[Likes]],Post5[[#This Row],[Shares]],Post5[[#This Row],[Comments]])</f>
        <v>3226</v>
      </c>
    </row>
    <row r="170" spans="1:15" x14ac:dyDescent="0.25">
      <c r="A170" t="s">
        <v>211</v>
      </c>
      <c r="B170" t="s">
        <v>10</v>
      </c>
      <c r="C170" s="1">
        <v>45629</v>
      </c>
      <c r="D170" t="s">
        <v>55</v>
      </c>
      <c r="E170" t="s">
        <v>56</v>
      </c>
      <c r="F170">
        <v>3809</v>
      </c>
      <c r="G170">
        <v>273</v>
      </c>
      <c r="H170">
        <v>200</v>
      </c>
      <c r="I170">
        <v>34281</v>
      </c>
      <c r="J170">
        <v>33534</v>
      </c>
      <c r="K170">
        <v>83</v>
      </c>
      <c r="L170" t="s">
        <v>42</v>
      </c>
      <c r="M170" t="s">
        <v>38</v>
      </c>
      <c r="N170" s="7">
        <f>(Post5[[#This Row],[Likes]]+Post5[[#This Row],[Shares]]+Post5[[#This Row],[Comments]])/Post5[[#This Row],[Impressions]]</f>
        <v>0.12490884163239112</v>
      </c>
      <c r="O170">
        <f>SUM(Post5[[#This Row],[Likes]],Post5[[#This Row],[Shares]],Post5[[#This Row],[Comments]])</f>
        <v>4282</v>
      </c>
    </row>
    <row r="171" spans="1:15" x14ac:dyDescent="0.25">
      <c r="A171" t="s">
        <v>212</v>
      </c>
      <c r="B171" t="s">
        <v>9</v>
      </c>
      <c r="C171" s="1">
        <v>45775</v>
      </c>
      <c r="D171" t="s">
        <v>28</v>
      </c>
      <c r="E171" t="s">
        <v>29</v>
      </c>
      <c r="F171">
        <v>3577</v>
      </c>
      <c r="G171">
        <v>596</v>
      </c>
      <c r="H171">
        <v>493</v>
      </c>
      <c r="I171">
        <v>67963</v>
      </c>
      <c r="J171">
        <v>67839</v>
      </c>
      <c r="K171">
        <v>53</v>
      </c>
      <c r="L171" t="s">
        <v>37</v>
      </c>
      <c r="M171" t="s">
        <v>49</v>
      </c>
      <c r="N171" s="7">
        <f>(Post5[[#This Row],[Likes]]+Post5[[#This Row],[Shares]]+Post5[[#This Row],[Comments]])/Post5[[#This Row],[Impressions]]</f>
        <v>6.8655003457763777E-2</v>
      </c>
      <c r="O171">
        <f>SUM(Post5[[#This Row],[Likes]],Post5[[#This Row],[Shares]],Post5[[#This Row],[Comments]])</f>
        <v>4666</v>
      </c>
    </row>
    <row r="172" spans="1:15" x14ac:dyDescent="0.25">
      <c r="A172" t="s">
        <v>213</v>
      </c>
      <c r="B172" t="s">
        <v>10</v>
      </c>
      <c r="C172" s="1">
        <v>45657</v>
      </c>
      <c r="D172" t="s">
        <v>55</v>
      </c>
      <c r="E172" t="s">
        <v>56</v>
      </c>
      <c r="F172">
        <v>1018</v>
      </c>
      <c r="G172">
        <v>447</v>
      </c>
      <c r="H172">
        <v>332</v>
      </c>
      <c r="I172">
        <v>18324</v>
      </c>
      <c r="J172">
        <v>18164</v>
      </c>
      <c r="K172">
        <v>38</v>
      </c>
      <c r="L172" t="s">
        <v>25</v>
      </c>
      <c r="M172" t="s">
        <v>49</v>
      </c>
      <c r="N172" s="7">
        <f>(Post5[[#This Row],[Likes]]+Post5[[#This Row],[Shares]]+Post5[[#This Row],[Comments]])/Post5[[#This Row],[Impressions]]</f>
        <v>9.8068107400130972E-2</v>
      </c>
      <c r="O172">
        <f>SUM(Post5[[#This Row],[Likes]],Post5[[#This Row],[Shares]],Post5[[#This Row],[Comments]])</f>
        <v>1797</v>
      </c>
    </row>
    <row r="173" spans="1:15" x14ac:dyDescent="0.25">
      <c r="A173" t="s">
        <v>214</v>
      </c>
      <c r="B173" t="s">
        <v>8</v>
      </c>
      <c r="C173" s="1">
        <v>45518</v>
      </c>
      <c r="D173" t="s">
        <v>40</v>
      </c>
      <c r="E173" t="s">
        <v>41</v>
      </c>
      <c r="F173">
        <v>3073</v>
      </c>
      <c r="G173">
        <v>553</v>
      </c>
      <c r="H173">
        <v>174</v>
      </c>
      <c r="I173">
        <v>52241</v>
      </c>
      <c r="J173">
        <v>51605</v>
      </c>
      <c r="K173">
        <v>246</v>
      </c>
      <c r="L173" t="s">
        <v>30</v>
      </c>
      <c r="M173" t="s">
        <v>49</v>
      </c>
      <c r="N173" s="7">
        <f>(Post5[[#This Row],[Likes]]+Post5[[#This Row],[Shares]]+Post5[[#This Row],[Comments]])/Post5[[#This Row],[Impressions]]</f>
        <v>7.2739802071170159E-2</v>
      </c>
      <c r="O173">
        <f>SUM(Post5[[#This Row],[Likes]],Post5[[#This Row],[Shares]],Post5[[#This Row],[Comments]])</f>
        <v>3800</v>
      </c>
    </row>
    <row r="174" spans="1:15" x14ac:dyDescent="0.25">
      <c r="A174" t="s">
        <v>215</v>
      </c>
      <c r="B174" t="s">
        <v>9</v>
      </c>
      <c r="C174" s="1">
        <v>45631</v>
      </c>
      <c r="D174" t="s">
        <v>55</v>
      </c>
      <c r="E174" t="s">
        <v>56</v>
      </c>
      <c r="F174">
        <v>1330</v>
      </c>
      <c r="G174">
        <v>925</v>
      </c>
      <c r="H174">
        <v>35</v>
      </c>
      <c r="I174">
        <v>15960</v>
      </c>
      <c r="J174">
        <v>15379</v>
      </c>
      <c r="K174">
        <v>229</v>
      </c>
      <c r="L174" t="s">
        <v>57</v>
      </c>
      <c r="M174" t="s">
        <v>49</v>
      </c>
      <c r="N174" s="7">
        <f>(Post5[[#This Row],[Likes]]+Post5[[#This Row],[Shares]]+Post5[[#This Row],[Comments]])/Post5[[#This Row],[Impressions]]</f>
        <v>0.14348370927318296</v>
      </c>
      <c r="O174">
        <f>SUM(Post5[[#This Row],[Likes]],Post5[[#This Row],[Shares]],Post5[[#This Row],[Comments]])</f>
        <v>2290</v>
      </c>
    </row>
    <row r="175" spans="1:15" x14ac:dyDescent="0.25">
      <c r="A175" t="s">
        <v>216</v>
      </c>
      <c r="B175" t="s">
        <v>8</v>
      </c>
      <c r="C175" s="1">
        <v>45465</v>
      </c>
      <c r="D175" t="s">
        <v>28</v>
      </c>
      <c r="E175" t="s">
        <v>29</v>
      </c>
      <c r="F175">
        <v>3828</v>
      </c>
      <c r="G175">
        <v>148</v>
      </c>
      <c r="H175">
        <v>253</v>
      </c>
      <c r="I175">
        <v>30624</v>
      </c>
      <c r="J175">
        <v>30229</v>
      </c>
      <c r="K175">
        <v>235</v>
      </c>
      <c r="L175" t="s">
        <v>25</v>
      </c>
      <c r="M175" t="s">
        <v>49</v>
      </c>
      <c r="N175" s="7">
        <f>(Post5[[#This Row],[Likes]]+Post5[[#This Row],[Shares]]+Post5[[#This Row],[Comments]])/Post5[[#This Row],[Impressions]]</f>
        <v>0.13809430512016718</v>
      </c>
      <c r="O175">
        <f>SUM(Post5[[#This Row],[Likes]],Post5[[#This Row],[Shares]],Post5[[#This Row],[Comments]])</f>
        <v>4229</v>
      </c>
    </row>
    <row r="176" spans="1:15" x14ac:dyDescent="0.25">
      <c r="A176" t="s">
        <v>217</v>
      </c>
      <c r="B176" t="s">
        <v>7</v>
      </c>
      <c r="C176" s="1">
        <v>45674</v>
      </c>
      <c r="D176" t="s">
        <v>23</v>
      </c>
      <c r="E176" t="s">
        <v>24</v>
      </c>
      <c r="F176">
        <v>142</v>
      </c>
      <c r="G176">
        <v>784</v>
      </c>
      <c r="H176">
        <v>183</v>
      </c>
      <c r="I176">
        <v>1704</v>
      </c>
      <c r="J176">
        <v>995</v>
      </c>
      <c r="K176">
        <v>154</v>
      </c>
      <c r="L176" t="s">
        <v>25</v>
      </c>
      <c r="M176" t="s">
        <v>26</v>
      </c>
      <c r="N176" s="7">
        <f>(Post5[[#This Row],[Likes]]+Post5[[#This Row],[Shares]]+Post5[[#This Row],[Comments]])/Post5[[#This Row],[Impressions]]</f>
        <v>0.6508215962441315</v>
      </c>
      <c r="O176">
        <f>SUM(Post5[[#This Row],[Likes]],Post5[[#This Row],[Shares]],Post5[[#This Row],[Comments]])</f>
        <v>1109</v>
      </c>
    </row>
    <row r="177" spans="1:15" x14ac:dyDescent="0.25">
      <c r="A177" t="s">
        <v>218</v>
      </c>
      <c r="B177" t="s">
        <v>8</v>
      </c>
      <c r="C177" s="1">
        <v>45463</v>
      </c>
      <c r="D177" t="s">
        <v>55</v>
      </c>
      <c r="E177" t="s">
        <v>56</v>
      </c>
      <c r="F177">
        <v>3798</v>
      </c>
      <c r="G177">
        <v>31</v>
      </c>
      <c r="H177">
        <v>279</v>
      </c>
      <c r="I177">
        <v>75960</v>
      </c>
      <c r="J177">
        <v>75813</v>
      </c>
      <c r="K177">
        <v>266</v>
      </c>
      <c r="L177" t="s">
        <v>30</v>
      </c>
      <c r="M177" t="s">
        <v>31</v>
      </c>
      <c r="N177" s="7">
        <f>(Post5[[#This Row],[Likes]]+Post5[[#This Row],[Shares]]+Post5[[#This Row],[Comments]])/Post5[[#This Row],[Impressions]]</f>
        <v>5.4081095313322801E-2</v>
      </c>
      <c r="O177">
        <f>SUM(Post5[[#This Row],[Likes]],Post5[[#This Row],[Shares]],Post5[[#This Row],[Comments]])</f>
        <v>4108</v>
      </c>
    </row>
    <row r="178" spans="1:15" x14ac:dyDescent="0.25">
      <c r="A178" t="s">
        <v>219</v>
      </c>
      <c r="B178" t="s">
        <v>7</v>
      </c>
      <c r="C178" s="1">
        <v>45483</v>
      </c>
      <c r="D178" t="s">
        <v>40</v>
      </c>
      <c r="E178" t="s">
        <v>41</v>
      </c>
      <c r="F178">
        <v>3099</v>
      </c>
      <c r="G178">
        <v>694</v>
      </c>
      <c r="H178">
        <v>171</v>
      </c>
      <c r="I178">
        <v>43386</v>
      </c>
      <c r="J178">
        <v>42921</v>
      </c>
      <c r="K178">
        <v>52</v>
      </c>
      <c r="L178" t="s">
        <v>57</v>
      </c>
      <c r="M178" t="s">
        <v>49</v>
      </c>
      <c r="N178" s="7">
        <f>(Post5[[#This Row],[Likes]]+Post5[[#This Row],[Shares]]+Post5[[#This Row],[Comments]])/Post5[[#This Row],[Impressions]]</f>
        <v>9.1365878393951966E-2</v>
      </c>
      <c r="O178">
        <f>SUM(Post5[[#This Row],[Likes]],Post5[[#This Row],[Shares]],Post5[[#This Row],[Comments]])</f>
        <v>3964</v>
      </c>
    </row>
    <row r="179" spans="1:15" x14ac:dyDescent="0.25">
      <c r="A179" t="s">
        <v>220</v>
      </c>
      <c r="B179" t="s">
        <v>7</v>
      </c>
      <c r="C179" s="1">
        <v>45603</v>
      </c>
      <c r="D179" t="s">
        <v>55</v>
      </c>
      <c r="E179" t="s">
        <v>56</v>
      </c>
      <c r="F179">
        <v>129</v>
      </c>
      <c r="G179">
        <v>643</v>
      </c>
      <c r="H179">
        <v>136</v>
      </c>
      <c r="I179">
        <v>1290</v>
      </c>
      <c r="J179">
        <v>839</v>
      </c>
      <c r="K179">
        <v>238</v>
      </c>
      <c r="L179" t="s">
        <v>37</v>
      </c>
      <c r="M179" t="s">
        <v>49</v>
      </c>
      <c r="N179" s="7">
        <f>(Post5[[#This Row],[Likes]]+Post5[[#This Row],[Shares]]+Post5[[#This Row],[Comments]])/Post5[[#This Row],[Impressions]]</f>
        <v>0.70387596899224802</v>
      </c>
      <c r="O179">
        <f>SUM(Post5[[#This Row],[Likes]],Post5[[#This Row],[Shares]],Post5[[#This Row],[Comments]])</f>
        <v>908</v>
      </c>
    </row>
    <row r="180" spans="1:15" x14ac:dyDescent="0.25">
      <c r="A180" t="s">
        <v>221</v>
      </c>
      <c r="B180" t="s">
        <v>8</v>
      </c>
      <c r="C180" s="1">
        <v>45488</v>
      </c>
      <c r="D180" t="s">
        <v>40</v>
      </c>
      <c r="E180" t="s">
        <v>41</v>
      </c>
      <c r="F180">
        <v>3796</v>
      </c>
      <c r="G180">
        <v>667</v>
      </c>
      <c r="H180">
        <v>395</v>
      </c>
      <c r="I180">
        <v>64532</v>
      </c>
      <c r="J180">
        <v>63550</v>
      </c>
      <c r="K180">
        <v>292</v>
      </c>
      <c r="L180" t="s">
        <v>37</v>
      </c>
      <c r="M180" t="s">
        <v>26</v>
      </c>
      <c r="N180" s="7">
        <f>(Post5[[#This Row],[Likes]]+Post5[[#This Row],[Shares]]+Post5[[#This Row],[Comments]])/Post5[[#This Row],[Impressions]]</f>
        <v>7.5280481001673588E-2</v>
      </c>
      <c r="O180">
        <f>SUM(Post5[[#This Row],[Likes]],Post5[[#This Row],[Shares]],Post5[[#This Row],[Comments]])</f>
        <v>4858</v>
      </c>
    </row>
    <row r="181" spans="1:15" x14ac:dyDescent="0.25">
      <c r="A181" t="s">
        <v>222</v>
      </c>
      <c r="B181" t="s">
        <v>10</v>
      </c>
      <c r="C181" s="1">
        <v>45629</v>
      </c>
      <c r="D181" t="s">
        <v>28</v>
      </c>
      <c r="E181" t="s">
        <v>29</v>
      </c>
      <c r="F181">
        <v>3711</v>
      </c>
      <c r="G181">
        <v>352</v>
      </c>
      <c r="H181">
        <v>290</v>
      </c>
      <c r="I181">
        <v>48243</v>
      </c>
      <c r="J181">
        <v>47579</v>
      </c>
      <c r="K181">
        <v>11</v>
      </c>
      <c r="L181" t="s">
        <v>37</v>
      </c>
      <c r="M181" t="s">
        <v>49</v>
      </c>
      <c r="N181" s="7">
        <f>(Post5[[#This Row],[Likes]]+Post5[[#This Row],[Shares]]+Post5[[#This Row],[Comments]])/Post5[[#This Row],[Impressions]]</f>
        <v>9.023070704558174E-2</v>
      </c>
      <c r="O181">
        <f>SUM(Post5[[#This Row],[Likes]],Post5[[#This Row],[Shares]],Post5[[#This Row],[Comments]])</f>
        <v>4353</v>
      </c>
    </row>
    <row r="182" spans="1:15" x14ac:dyDescent="0.25">
      <c r="A182" t="s">
        <v>223</v>
      </c>
      <c r="B182" t="s">
        <v>10</v>
      </c>
      <c r="C182" s="1">
        <v>45737</v>
      </c>
      <c r="D182" t="s">
        <v>45</v>
      </c>
      <c r="E182" t="s">
        <v>46</v>
      </c>
      <c r="F182">
        <v>606</v>
      </c>
      <c r="G182">
        <v>789</v>
      </c>
      <c r="H182">
        <v>470</v>
      </c>
      <c r="I182">
        <v>7878</v>
      </c>
      <c r="J182">
        <v>7389</v>
      </c>
      <c r="K182">
        <v>239</v>
      </c>
      <c r="L182" t="s">
        <v>25</v>
      </c>
      <c r="M182" t="s">
        <v>31</v>
      </c>
      <c r="N182" s="7">
        <f>(Post5[[#This Row],[Likes]]+Post5[[#This Row],[Shares]]+Post5[[#This Row],[Comments]])/Post5[[#This Row],[Impressions]]</f>
        <v>0.23673521198273673</v>
      </c>
      <c r="O182">
        <f>SUM(Post5[[#This Row],[Likes]],Post5[[#This Row],[Shares]],Post5[[#This Row],[Comments]])</f>
        <v>1865</v>
      </c>
    </row>
    <row r="183" spans="1:15" x14ac:dyDescent="0.25">
      <c r="A183" t="s">
        <v>224</v>
      </c>
      <c r="B183" t="s">
        <v>8</v>
      </c>
      <c r="C183" s="1">
        <v>45504</v>
      </c>
      <c r="D183" t="s">
        <v>45</v>
      </c>
      <c r="E183" t="s">
        <v>46</v>
      </c>
      <c r="F183">
        <v>4689</v>
      </c>
      <c r="G183">
        <v>134</v>
      </c>
      <c r="H183">
        <v>403</v>
      </c>
      <c r="I183">
        <v>51579</v>
      </c>
      <c r="J183">
        <v>50924</v>
      </c>
      <c r="K183">
        <v>173</v>
      </c>
      <c r="L183" t="s">
        <v>57</v>
      </c>
      <c r="M183" t="s">
        <v>26</v>
      </c>
      <c r="N183" s="7">
        <f>(Post5[[#This Row],[Likes]]+Post5[[#This Row],[Shares]]+Post5[[#This Row],[Comments]])/Post5[[#This Row],[Impressions]]</f>
        <v>0.10132030477519921</v>
      </c>
      <c r="O183">
        <f>SUM(Post5[[#This Row],[Likes]],Post5[[#This Row],[Shares]],Post5[[#This Row],[Comments]])</f>
        <v>5226</v>
      </c>
    </row>
    <row r="184" spans="1:15" x14ac:dyDescent="0.25">
      <c r="A184" t="s">
        <v>225</v>
      </c>
      <c r="B184" t="s">
        <v>7</v>
      </c>
      <c r="C184" s="1">
        <v>45643</v>
      </c>
      <c r="D184" t="s">
        <v>34</v>
      </c>
      <c r="E184" t="s">
        <v>35</v>
      </c>
      <c r="F184">
        <v>360</v>
      </c>
      <c r="G184">
        <v>590</v>
      </c>
      <c r="H184">
        <v>393</v>
      </c>
      <c r="I184">
        <v>4680</v>
      </c>
      <c r="J184">
        <v>4322</v>
      </c>
      <c r="K184">
        <v>208</v>
      </c>
      <c r="L184" t="s">
        <v>37</v>
      </c>
      <c r="M184" t="s">
        <v>31</v>
      </c>
      <c r="N184" s="7">
        <f>(Post5[[#This Row],[Likes]]+Post5[[#This Row],[Shares]]+Post5[[#This Row],[Comments]])/Post5[[#This Row],[Impressions]]</f>
        <v>0.28696581196581195</v>
      </c>
      <c r="O184">
        <f>SUM(Post5[[#This Row],[Likes]],Post5[[#This Row],[Shares]],Post5[[#This Row],[Comments]])</f>
        <v>1343</v>
      </c>
    </row>
    <row r="185" spans="1:15" x14ac:dyDescent="0.25">
      <c r="A185" t="s">
        <v>226</v>
      </c>
      <c r="B185" t="s">
        <v>9</v>
      </c>
      <c r="C185" s="1">
        <v>45501</v>
      </c>
      <c r="D185" t="s">
        <v>45</v>
      </c>
      <c r="E185" t="s">
        <v>46</v>
      </c>
      <c r="F185">
        <v>3215</v>
      </c>
      <c r="G185">
        <v>960</v>
      </c>
      <c r="H185">
        <v>202</v>
      </c>
      <c r="I185">
        <v>32150</v>
      </c>
      <c r="J185">
        <v>31404</v>
      </c>
      <c r="K185">
        <v>251</v>
      </c>
      <c r="L185" t="s">
        <v>37</v>
      </c>
      <c r="M185" t="s">
        <v>38</v>
      </c>
      <c r="N185" s="7">
        <f>(Post5[[#This Row],[Likes]]+Post5[[#This Row],[Shares]]+Post5[[#This Row],[Comments]])/Post5[[#This Row],[Impressions]]</f>
        <v>0.13614307931570763</v>
      </c>
      <c r="O185">
        <f>SUM(Post5[[#This Row],[Likes]],Post5[[#This Row],[Shares]],Post5[[#This Row],[Comments]])</f>
        <v>4377</v>
      </c>
    </row>
    <row r="186" spans="1:15" x14ac:dyDescent="0.25">
      <c r="A186" t="s">
        <v>227</v>
      </c>
      <c r="B186" t="s">
        <v>7</v>
      </c>
      <c r="C186" s="1">
        <v>45668</v>
      </c>
      <c r="D186" t="s">
        <v>40</v>
      </c>
      <c r="E186" t="s">
        <v>41</v>
      </c>
      <c r="F186">
        <v>4523</v>
      </c>
      <c r="G186">
        <v>61</v>
      </c>
      <c r="H186">
        <v>157</v>
      </c>
      <c r="I186">
        <v>49753</v>
      </c>
      <c r="J186">
        <v>49329</v>
      </c>
      <c r="K186">
        <v>71</v>
      </c>
      <c r="L186" t="s">
        <v>25</v>
      </c>
      <c r="M186" t="s">
        <v>49</v>
      </c>
      <c r="N186" s="7">
        <f>(Post5[[#This Row],[Likes]]+Post5[[#This Row],[Shares]]+Post5[[#This Row],[Comments]])/Post5[[#This Row],[Impressions]]</f>
        <v>9.5290736237010829E-2</v>
      </c>
      <c r="O186">
        <f>SUM(Post5[[#This Row],[Likes]],Post5[[#This Row],[Shares]],Post5[[#This Row],[Comments]])</f>
        <v>4741</v>
      </c>
    </row>
    <row r="187" spans="1:15" x14ac:dyDescent="0.25">
      <c r="A187" t="s">
        <v>228</v>
      </c>
      <c r="B187" t="s">
        <v>8</v>
      </c>
      <c r="C187" s="1">
        <v>45528</v>
      </c>
      <c r="D187" t="s">
        <v>40</v>
      </c>
      <c r="E187" t="s">
        <v>41</v>
      </c>
      <c r="F187">
        <v>4292</v>
      </c>
      <c r="G187">
        <v>51</v>
      </c>
      <c r="H187">
        <v>392</v>
      </c>
      <c r="I187">
        <v>55796</v>
      </c>
      <c r="J187">
        <v>54826</v>
      </c>
      <c r="K187">
        <v>264</v>
      </c>
      <c r="L187" t="s">
        <v>42</v>
      </c>
      <c r="M187" t="s">
        <v>26</v>
      </c>
      <c r="N187" s="7">
        <f>(Post5[[#This Row],[Likes]]+Post5[[#This Row],[Shares]]+Post5[[#This Row],[Comments]])/Post5[[#This Row],[Impressions]]</f>
        <v>8.4862714173059003E-2</v>
      </c>
      <c r="O187">
        <f>SUM(Post5[[#This Row],[Likes]],Post5[[#This Row],[Shares]],Post5[[#This Row],[Comments]])</f>
        <v>4735</v>
      </c>
    </row>
    <row r="188" spans="1:15" x14ac:dyDescent="0.25">
      <c r="A188" t="s">
        <v>229</v>
      </c>
      <c r="B188" t="s">
        <v>9</v>
      </c>
      <c r="C188" s="1">
        <v>45648</v>
      </c>
      <c r="D188" t="s">
        <v>23</v>
      </c>
      <c r="E188" t="s">
        <v>24</v>
      </c>
      <c r="F188">
        <v>1644</v>
      </c>
      <c r="G188">
        <v>546</v>
      </c>
      <c r="H188">
        <v>150</v>
      </c>
      <c r="I188">
        <v>27948</v>
      </c>
      <c r="J188">
        <v>27184</v>
      </c>
      <c r="K188">
        <v>300</v>
      </c>
      <c r="L188" t="s">
        <v>25</v>
      </c>
      <c r="M188" t="s">
        <v>26</v>
      </c>
      <c r="N188" s="7">
        <f>(Post5[[#This Row],[Likes]]+Post5[[#This Row],[Shares]]+Post5[[#This Row],[Comments]])/Post5[[#This Row],[Impressions]]</f>
        <v>8.3726921425504502E-2</v>
      </c>
      <c r="O188">
        <f>SUM(Post5[[#This Row],[Likes]],Post5[[#This Row],[Shares]],Post5[[#This Row],[Comments]])</f>
        <v>2340</v>
      </c>
    </row>
    <row r="189" spans="1:15" x14ac:dyDescent="0.25">
      <c r="A189" t="s">
        <v>230</v>
      </c>
      <c r="B189" t="s">
        <v>10</v>
      </c>
      <c r="C189" s="1">
        <v>45449</v>
      </c>
      <c r="D189" t="s">
        <v>23</v>
      </c>
      <c r="E189" t="s">
        <v>24</v>
      </c>
      <c r="F189">
        <v>2728</v>
      </c>
      <c r="G189">
        <v>533</v>
      </c>
      <c r="H189">
        <v>215</v>
      </c>
      <c r="I189">
        <v>40920</v>
      </c>
      <c r="J189">
        <v>40816</v>
      </c>
      <c r="K189">
        <v>137</v>
      </c>
      <c r="L189" t="s">
        <v>25</v>
      </c>
      <c r="M189" t="s">
        <v>31</v>
      </c>
      <c r="N189" s="7">
        <f>(Post5[[#This Row],[Likes]]+Post5[[#This Row],[Shares]]+Post5[[#This Row],[Comments]])/Post5[[#This Row],[Impressions]]</f>
        <v>8.4946236559139784E-2</v>
      </c>
      <c r="O189">
        <f>SUM(Post5[[#This Row],[Likes]],Post5[[#This Row],[Shares]],Post5[[#This Row],[Comments]])</f>
        <v>3476</v>
      </c>
    </row>
    <row r="190" spans="1:15" x14ac:dyDescent="0.25">
      <c r="A190" t="s">
        <v>231</v>
      </c>
      <c r="B190" t="s">
        <v>8</v>
      </c>
      <c r="C190" s="1">
        <v>45740</v>
      </c>
      <c r="D190" t="s">
        <v>23</v>
      </c>
      <c r="E190" t="s">
        <v>24</v>
      </c>
      <c r="F190">
        <v>3360</v>
      </c>
      <c r="G190">
        <v>525</v>
      </c>
      <c r="H190">
        <v>500</v>
      </c>
      <c r="I190">
        <v>60480</v>
      </c>
      <c r="J190">
        <v>59610</v>
      </c>
      <c r="K190">
        <v>192</v>
      </c>
      <c r="L190" t="s">
        <v>25</v>
      </c>
      <c r="M190" t="s">
        <v>26</v>
      </c>
      <c r="N190" s="7">
        <f>(Post5[[#This Row],[Likes]]+Post5[[#This Row],[Shares]]+Post5[[#This Row],[Comments]])/Post5[[#This Row],[Impressions]]</f>
        <v>7.2503306878306875E-2</v>
      </c>
      <c r="O190">
        <f>SUM(Post5[[#This Row],[Likes]],Post5[[#This Row],[Shares]],Post5[[#This Row],[Comments]])</f>
        <v>4385</v>
      </c>
    </row>
    <row r="191" spans="1:15" x14ac:dyDescent="0.25">
      <c r="A191" t="s">
        <v>232</v>
      </c>
      <c r="B191" t="s">
        <v>10</v>
      </c>
      <c r="C191" s="1">
        <v>45569</v>
      </c>
      <c r="D191" t="s">
        <v>28</v>
      </c>
      <c r="E191" t="s">
        <v>29</v>
      </c>
      <c r="F191">
        <v>1963</v>
      </c>
      <c r="G191">
        <v>213</v>
      </c>
      <c r="H191">
        <v>19</v>
      </c>
      <c r="I191">
        <v>39260</v>
      </c>
      <c r="J191">
        <v>38771</v>
      </c>
      <c r="K191">
        <v>145</v>
      </c>
      <c r="L191" t="s">
        <v>37</v>
      </c>
      <c r="M191" t="s">
        <v>26</v>
      </c>
      <c r="N191" s="7">
        <f>(Post5[[#This Row],[Likes]]+Post5[[#This Row],[Shares]]+Post5[[#This Row],[Comments]])/Post5[[#This Row],[Impressions]]</f>
        <v>5.5909322465613857E-2</v>
      </c>
      <c r="O191">
        <f>SUM(Post5[[#This Row],[Likes]],Post5[[#This Row],[Shares]],Post5[[#This Row],[Comments]])</f>
        <v>2195</v>
      </c>
    </row>
    <row r="192" spans="1:15" x14ac:dyDescent="0.25">
      <c r="A192" t="s">
        <v>233</v>
      </c>
      <c r="B192" t="s">
        <v>10</v>
      </c>
      <c r="C192" s="1">
        <v>45629</v>
      </c>
      <c r="D192" t="s">
        <v>34</v>
      </c>
      <c r="E192" t="s">
        <v>35</v>
      </c>
      <c r="F192">
        <v>4285</v>
      </c>
      <c r="G192">
        <v>886</v>
      </c>
      <c r="H192">
        <v>376</v>
      </c>
      <c r="I192">
        <v>55705</v>
      </c>
      <c r="J192">
        <v>55556</v>
      </c>
      <c r="K192">
        <v>51</v>
      </c>
      <c r="L192" t="s">
        <v>30</v>
      </c>
      <c r="M192" t="s">
        <v>49</v>
      </c>
      <c r="N192" s="7">
        <f>(Post5[[#This Row],[Likes]]+Post5[[#This Row],[Shares]]+Post5[[#This Row],[Comments]])/Post5[[#This Row],[Impressions]]</f>
        <v>9.9578134817341346E-2</v>
      </c>
      <c r="O192">
        <f>SUM(Post5[[#This Row],[Likes]],Post5[[#This Row],[Shares]],Post5[[#This Row],[Comments]])</f>
        <v>5547</v>
      </c>
    </row>
    <row r="193" spans="1:15" x14ac:dyDescent="0.25">
      <c r="A193" t="s">
        <v>234</v>
      </c>
      <c r="B193" t="s">
        <v>7</v>
      </c>
      <c r="C193" s="1">
        <v>45625</v>
      </c>
      <c r="D193" t="s">
        <v>55</v>
      </c>
      <c r="E193" t="s">
        <v>56</v>
      </c>
      <c r="F193">
        <v>1176</v>
      </c>
      <c r="G193">
        <v>464</v>
      </c>
      <c r="H193">
        <v>394</v>
      </c>
      <c r="I193">
        <v>14112</v>
      </c>
      <c r="J193">
        <v>13588</v>
      </c>
      <c r="K193">
        <v>272</v>
      </c>
      <c r="L193" t="s">
        <v>57</v>
      </c>
      <c r="M193" t="s">
        <v>26</v>
      </c>
      <c r="N193" s="7">
        <f>(Post5[[#This Row],[Likes]]+Post5[[#This Row],[Shares]]+Post5[[#This Row],[Comments]])/Post5[[#This Row],[Impressions]]</f>
        <v>0.1441326530612245</v>
      </c>
      <c r="O193">
        <f>SUM(Post5[[#This Row],[Likes]],Post5[[#This Row],[Shares]],Post5[[#This Row],[Comments]])</f>
        <v>2034</v>
      </c>
    </row>
    <row r="194" spans="1:15" x14ac:dyDescent="0.25">
      <c r="A194" t="s">
        <v>235</v>
      </c>
      <c r="B194" t="s">
        <v>9</v>
      </c>
      <c r="C194" s="1">
        <v>45546</v>
      </c>
      <c r="D194" t="s">
        <v>45</v>
      </c>
      <c r="E194" t="s">
        <v>46</v>
      </c>
      <c r="F194">
        <v>4858</v>
      </c>
      <c r="G194">
        <v>317</v>
      </c>
      <c r="H194">
        <v>129</v>
      </c>
      <c r="I194">
        <v>53438</v>
      </c>
      <c r="J194">
        <v>52687</v>
      </c>
      <c r="K194">
        <v>223</v>
      </c>
      <c r="L194" t="s">
        <v>57</v>
      </c>
      <c r="M194" t="s">
        <v>26</v>
      </c>
      <c r="N194" s="7">
        <f>(Post5[[#This Row],[Likes]]+Post5[[#This Row],[Shares]]+Post5[[#This Row],[Comments]])/Post5[[#This Row],[Impressions]]</f>
        <v>9.9255211647142488E-2</v>
      </c>
      <c r="O194">
        <f>SUM(Post5[[#This Row],[Likes]],Post5[[#This Row],[Shares]],Post5[[#This Row],[Comments]])</f>
        <v>5304</v>
      </c>
    </row>
    <row r="195" spans="1:15" x14ac:dyDescent="0.25">
      <c r="A195" t="s">
        <v>236</v>
      </c>
      <c r="B195" t="s">
        <v>10</v>
      </c>
      <c r="C195" s="1">
        <v>45567</v>
      </c>
      <c r="D195" t="s">
        <v>34</v>
      </c>
      <c r="E195" t="s">
        <v>35</v>
      </c>
      <c r="F195">
        <v>4350</v>
      </c>
      <c r="G195">
        <v>771</v>
      </c>
      <c r="H195">
        <v>7</v>
      </c>
      <c r="I195">
        <v>60900</v>
      </c>
      <c r="J195">
        <v>60592</v>
      </c>
      <c r="K195">
        <v>195</v>
      </c>
      <c r="L195" t="s">
        <v>57</v>
      </c>
      <c r="M195" t="s">
        <v>31</v>
      </c>
      <c r="N195" s="7">
        <f>(Post5[[#This Row],[Likes]]+Post5[[#This Row],[Shares]]+Post5[[#This Row],[Comments]])/Post5[[#This Row],[Impressions]]</f>
        <v>8.4203612479474554E-2</v>
      </c>
      <c r="O195">
        <f>SUM(Post5[[#This Row],[Likes]],Post5[[#This Row],[Shares]],Post5[[#This Row],[Comments]])</f>
        <v>5128</v>
      </c>
    </row>
    <row r="196" spans="1:15" x14ac:dyDescent="0.25">
      <c r="A196" t="s">
        <v>237</v>
      </c>
      <c r="B196" t="s">
        <v>7</v>
      </c>
      <c r="C196" s="1">
        <v>45519</v>
      </c>
      <c r="D196" t="s">
        <v>40</v>
      </c>
      <c r="E196" t="s">
        <v>41</v>
      </c>
      <c r="F196">
        <v>914</v>
      </c>
      <c r="G196">
        <v>464</v>
      </c>
      <c r="H196">
        <v>246</v>
      </c>
      <c r="I196">
        <v>11882</v>
      </c>
      <c r="J196">
        <v>11500</v>
      </c>
      <c r="K196">
        <v>282</v>
      </c>
      <c r="L196" t="s">
        <v>30</v>
      </c>
      <c r="M196" t="s">
        <v>38</v>
      </c>
      <c r="N196" s="7">
        <f>(Post5[[#This Row],[Likes]]+Post5[[#This Row],[Shares]]+Post5[[#This Row],[Comments]])/Post5[[#This Row],[Impressions]]</f>
        <v>0.13667732704931829</v>
      </c>
      <c r="O196">
        <f>SUM(Post5[[#This Row],[Likes]],Post5[[#This Row],[Shares]],Post5[[#This Row],[Comments]])</f>
        <v>1624</v>
      </c>
    </row>
    <row r="197" spans="1:15" x14ac:dyDescent="0.25">
      <c r="A197" t="s">
        <v>238</v>
      </c>
      <c r="B197" t="s">
        <v>7</v>
      </c>
      <c r="C197" s="1">
        <v>45645</v>
      </c>
      <c r="D197" t="s">
        <v>28</v>
      </c>
      <c r="E197" t="s">
        <v>29</v>
      </c>
      <c r="F197">
        <v>1813</v>
      </c>
      <c r="G197">
        <v>623</v>
      </c>
      <c r="H197">
        <v>72</v>
      </c>
      <c r="I197">
        <v>19943</v>
      </c>
      <c r="J197">
        <v>18959</v>
      </c>
      <c r="K197">
        <v>85</v>
      </c>
      <c r="L197" t="s">
        <v>42</v>
      </c>
      <c r="M197" t="s">
        <v>38</v>
      </c>
      <c r="N197" s="7">
        <f>(Post5[[#This Row],[Likes]]+Post5[[#This Row],[Shares]]+Post5[[#This Row],[Comments]])/Post5[[#This Row],[Impressions]]</f>
        <v>0.12575841147269717</v>
      </c>
      <c r="O197">
        <f>SUM(Post5[[#This Row],[Likes]],Post5[[#This Row],[Shares]],Post5[[#This Row],[Comments]])</f>
        <v>2508</v>
      </c>
    </row>
    <row r="198" spans="1:15" x14ac:dyDescent="0.25">
      <c r="A198" t="s">
        <v>239</v>
      </c>
      <c r="B198" t="s">
        <v>9</v>
      </c>
      <c r="C198" s="1">
        <v>45587</v>
      </c>
      <c r="D198" t="s">
        <v>23</v>
      </c>
      <c r="E198" t="s">
        <v>24</v>
      </c>
      <c r="F198">
        <v>4782</v>
      </c>
      <c r="G198">
        <v>721</v>
      </c>
      <c r="H198">
        <v>82</v>
      </c>
      <c r="I198">
        <v>86076</v>
      </c>
      <c r="J198">
        <v>85339</v>
      </c>
      <c r="K198">
        <v>19</v>
      </c>
      <c r="L198" t="s">
        <v>57</v>
      </c>
      <c r="M198" t="s">
        <v>31</v>
      </c>
      <c r="N198" s="7">
        <f>(Post5[[#This Row],[Likes]]+Post5[[#This Row],[Shares]]+Post5[[#This Row],[Comments]])/Post5[[#This Row],[Impressions]]</f>
        <v>6.4884520656164318E-2</v>
      </c>
      <c r="O198">
        <f>SUM(Post5[[#This Row],[Likes]],Post5[[#This Row],[Shares]],Post5[[#This Row],[Comments]])</f>
        <v>5585</v>
      </c>
    </row>
    <row r="199" spans="1:15" x14ac:dyDescent="0.25">
      <c r="A199" t="s">
        <v>240</v>
      </c>
      <c r="B199" t="s">
        <v>9</v>
      </c>
      <c r="C199" s="1">
        <v>45549</v>
      </c>
      <c r="D199" t="s">
        <v>45</v>
      </c>
      <c r="E199" t="s">
        <v>46</v>
      </c>
      <c r="F199">
        <v>1048</v>
      </c>
      <c r="G199">
        <v>374</v>
      </c>
      <c r="H199">
        <v>450</v>
      </c>
      <c r="I199">
        <v>9432</v>
      </c>
      <c r="J199">
        <v>8882</v>
      </c>
      <c r="K199">
        <v>158</v>
      </c>
      <c r="L199" t="s">
        <v>42</v>
      </c>
      <c r="M199" t="s">
        <v>31</v>
      </c>
      <c r="N199" s="7">
        <f>(Post5[[#This Row],[Likes]]+Post5[[#This Row],[Shares]]+Post5[[#This Row],[Comments]])/Post5[[#This Row],[Impressions]]</f>
        <v>0.19847328244274809</v>
      </c>
      <c r="O199">
        <f>SUM(Post5[[#This Row],[Likes]],Post5[[#This Row],[Shares]],Post5[[#This Row],[Comments]])</f>
        <v>1872</v>
      </c>
    </row>
    <row r="200" spans="1:15" x14ac:dyDescent="0.25">
      <c r="A200" t="s">
        <v>241</v>
      </c>
      <c r="B200" t="s">
        <v>10</v>
      </c>
      <c r="C200" s="1">
        <v>45626</v>
      </c>
      <c r="D200" t="s">
        <v>40</v>
      </c>
      <c r="E200" t="s">
        <v>41</v>
      </c>
      <c r="F200">
        <v>2509</v>
      </c>
      <c r="G200">
        <v>324</v>
      </c>
      <c r="H200">
        <v>171</v>
      </c>
      <c r="I200">
        <v>35126</v>
      </c>
      <c r="J200">
        <v>34685</v>
      </c>
      <c r="K200">
        <v>277</v>
      </c>
      <c r="L200" t="s">
        <v>57</v>
      </c>
      <c r="M200" t="s">
        <v>31</v>
      </c>
      <c r="N200" s="7">
        <f>(Post5[[#This Row],[Likes]]+Post5[[#This Row],[Shares]]+Post5[[#This Row],[Comments]])/Post5[[#This Row],[Impressions]]</f>
        <v>8.5520696919660646E-2</v>
      </c>
      <c r="O200">
        <f>SUM(Post5[[#This Row],[Likes]],Post5[[#This Row],[Shares]],Post5[[#This Row],[Comments]])</f>
        <v>3004</v>
      </c>
    </row>
    <row r="201" spans="1:15" x14ac:dyDescent="0.25">
      <c r="A201" t="s">
        <v>242</v>
      </c>
      <c r="B201" t="s">
        <v>8</v>
      </c>
      <c r="C201" s="1">
        <v>45754</v>
      </c>
      <c r="D201" t="s">
        <v>23</v>
      </c>
      <c r="E201" t="s">
        <v>24</v>
      </c>
      <c r="F201">
        <v>3718</v>
      </c>
      <c r="G201">
        <v>385</v>
      </c>
      <c r="H201">
        <v>310</v>
      </c>
      <c r="I201">
        <v>70642</v>
      </c>
      <c r="J201">
        <v>69749</v>
      </c>
      <c r="K201">
        <v>233</v>
      </c>
      <c r="L201" t="s">
        <v>42</v>
      </c>
      <c r="M201" t="s">
        <v>26</v>
      </c>
      <c r="N201" s="7">
        <f>(Post5[[#This Row],[Likes]]+Post5[[#This Row],[Shares]]+Post5[[#This Row],[Comments]])/Post5[[#This Row],[Impressions]]</f>
        <v>6.246991874522239E-2</v>
      </c>
      <c r="O201">
        <f>SUM(Post5[[#This Row],[Likes]],Post5[[#This Row],[Shares]],Post5[[#This Row],[Comments]])</f>
        <v>4413</v>
      </c>
    </row>
    <row r="202" spans="1:15" x14ac:dyDescent="0.25">
      <c r="A202" t="s">
        <v>243</v>
      </c>
      <c r="B202" t="s">
        <v>9</v>
      </c>
      <c r="C202" s="1">
        <v>45672</v>
      </c>
      <c r="D202" t="s">
        <v>23</v>
      </c>
      <c r="E202" t="s">
        <v>24</v>
      </c>
      <c r="F202">
        <v>802</v>
      </c>
      <c r="G202">
        <v>262</v>
      </c>
      <c r="H202">
        <v>244</v>
      </c>
      <c r="I202">
        <v>14436</v>
      </c>
      <c r="J202">
        <v>14280</v>
      </c>
      <c r="K202">
        <v>49</v>
      </c>
      <c r="L202" t="s">
        <v>25</v>
      </c>
      <c r="M202" t="s">
        <v>49</v>
      </c>
      <c r="N202" s="7">
        <f>(Post5[[#This Row],[Likes]]+Post5[[#This Row],[Shares]]+Post5[[#This Row],[Comments]])/Post5[[#This Row],[Impressions]]</f>
        <v>9.0606816292601824E-2</v>
      </c>
      <c r="O202">
        <f>SUM(Post5[[#This Row],[Likes]],Post5[[#This Row],[Shares]],Post5[[#This Row],[Comments]])</f>
        <v>1308</v>
      </c>
    </row>
    <row r="203" spans="1:15" x14ac:dyDescent="0.25">
      <c r="A203" t="s">
        <v>244</v>
      </c>
      <c r="B203" t="s">
        <v>8</v>
      </c>
      <c r="C203" s="1">
        <v>45445</v>
      </c>
      <c r="D203" t="s">
        <v>45</v>
      </c>
      <c r="E203" t="s">
        <v>46</v>
      </c>
      <c r="F203">
        <v>1871</v>
      </c>
      <c r="G203">
        <v>252</v>
      </c>
      <c r="H203">
        <v>335</v>
      </c>
      <c r="I203">
        <v>29936</v>
      </c>
      <c r="J203">
        <v>29576</v>
      </c>
      <c r="K203">
        <v>288</v>
      </c>
      <c r="L203" t="s">
        <v>42</v>
      </c>
      <c r="M203" t="s">
        <v>31</v>
      </c>
      <c r="N203" s="7">
        <f>(Post5[[#This Row],[Likes]]+Post5[[#This Row],[Shares]]+Post5[[#This Row],[Comments]])/Post5[[#This Row],[Impressions]]</f>
        <v>8.2108498129342594E-2</v>
      </c>
      <c r="O203">
        <f>SUM(Post5[[#This Row],[Likes]],Post5[[#This Row],[Shares]],Post5[[#This Row],[Comments]])</f>
        <v>2458</v>
      </c>
    </row>
    <row r="204" spans="1:15" x14ac:dyDescent="0.25">
      <c r="A204" t="s">
        <v>245</v>
      </c>
      <c r="B204" t="s">
        <v>7</v>
      </c>
      <c r="C204" s="1">
        <v>45617</v>
      </c>
      <c r="D204" t="s">
        <v>40</v>
      </c>
      <c r="E204" t="s">
        <v>41</v>
      </c>
      <c r="F204">
        <v>3773</v>
      </c>
      <c r="G204">
        <v>299</v>
      </c>
      <c r="H204">
        <v>38</v>
      </c>
      <c r="I204">
        <v>71687</v>
      </c>
      <c r="J204">
        <v>71447</v>
      </c>
      <c r="K204">
        <v>286</v>
      </c>
      <c r="L204" t="s">
        <v>42</v>
      </c>
      <c r="M204" t="s">
        <v>49</v>
      </c>
      <c r="N204" s="7">
        <f>(Post5[[#This Row],[Likes]]+Post5[[#This Row],[Shares]]+Post5[[#This Row],[Comments]])/Post5[[#This Row],[Impressions]]</f>
        <v>5.7332570758993957E-2</v>
      </c>
      <c r="O204">
        <f>SUM(Post5[[#This Row],[Likes]],Post5[[#This Row],[Shares]],Post5[[#This Row],[Comments]])</f>
        <v>4110</v>
      </c>
    </row>
    <row r="205" spans="1:15" x14ac:dyDescent="0.25">
      <c r="A205" t="s">
        <v>246</v>
      </c>
      <c r="B205" t="s">
        <v>7</v>
      </c>
      <c r="C205" s="1">
        <v>45658</v>
      </c>
      <c r="D205" t="s">
        <v>40</v>
      </c>
      <c r="E205" t="s">
        <v>41</v>
      </c>
      <c r="F205">
        <v>2234</v>
      </c>
      <c r="G205">
        <v>653</v>
      </c>
      <c r="H205">
        <v>432</v>
      </c>
      <c r="I205">
        <v>11170</v>
      </c>
      <c r="J205">
        <v>10569</v>
      </c>
      <c r="K205">
        <v>198</v>
      </c>
      <c r="L205" t="s">
        <v>57</v>
      </c>
      <c r="M205" t="s">
        <v>49</v>
      </c>
      <c r="N205" s="7">
        <f>(Post5[[#This Row],[Likes]]+Post5[[#This Row],[Shares]]+Post5[[#This Row],[Comments]])/Post5[[#This Row],[Impressions]]</f>
        <v>0.29713518352730528</v>
      </c>
      <c r="O205">
        <f>SUM(Post5[[#This Row],[Likes]],Post5[[#This Row],[Shares]],Post5[[#This Row],[Comments]])</f>
        <v>3319</v>
      </c>
    </row>
    <row r="206" spans="1:15" x14ac:dyDescent="0.25">
      <c r="A206" t="s">
        <v>247</v>
      </c>
      <c r="B206" t="s">
        <v>9</v>
      </c>
      <c r="C206" s="1">
        <v>45771</v>
      </c>
      <c r="D206" t="s">
        <v>55</v>
      </c>
      <c r="E206" t="s">
        <v>56</v>
      </c>
      <c r="F206">
        <v>3820</v>
      </c>
      <c r="G206">
        <v>697</v>
      </c>
      <c r="H206">
        <v>268</v>
      </c>
      <c r="I206">
        <v>45840</v>
      </c>
      <c r="J206">
        <v>45631</v>
      </c>
      <c r="K206">
        <v>171</v>
      </c>
      <c r="L206" t="s">
        <v>37</v>
      </c>
      <c r="M206" t="s">
        <v>26</v>
      </c>
      <c r="N206" s="7">
        <f>(Post5[[#This Row],[Likes]]+Post5[[#This Row],[Shares]]+Post5[[#This Row],[Comments]])/Post5[[#This Row],[Impressions]]</f>
        <v>0.1043848167539267</v>
      </c>
      <c r="O206">
        <f>SUM(Post5[[#This Row],[Likes]],Post5[[#This Row],[Shares]],Post5[[#This Row],[Comments]])</f>
        <v>4785</v>
      </c>
    </row>
    <row r="207" spans="1:15" x14ac:dyDescent="0.25">
      <c r="A207" t="s">
        <v>248</v>
      </c>
      <c r="B207" t="s">
        <v>9</v>
      </c>
      <c r="C207" s="1">
        <v>45467</v>
      </c>
      <c r="D207" t="s">
        <v>28</v>
      </c>
      <c r="E207" t="s">
        <v>29</v>
      </c>
      <c r="F207">
        <v>941</v>
      </c>
      <c r="G207">
        <v>121</v>
      </c>
      <c r="H207">
        <v>458</v>
      </c>
      <c r="I207">
        <v>14115</v>
      </c>
      <c r="J207">
        <v>13838</v>
      </c>
      <c r="K207">
        <v>87</v>
      </c>
      <c r="L207" t="s">
        <v>30</v>
      </c>
      <c r="M207" t="s">
        <v>31</v>
      </c>
      <c r="N207" s="7">
        <f>(Post5[[#This Row],[Likes]]+Post5[[#This Row],[Shares]]+Post5[[#This Row],[Comments]])/Post5[[#This Row],[Impressions]]</f>
        <v>0.10768685795253277</v>
      </c>
      <c r="O207">
        <f>SUM(Post5[[#This Row],[Likes]],Post5[[#This Row],[Shares]],Post5[[#This Row],[Comments]])</f>
        <v>1520</v>
      </c>
    </row>
    <row r="208" spans="1:15" x14ac:dyDescent="0.25">
      <c r="A208" t="s">
        <v>249</v>
      </c>
      <c r="B208" t="s">
        <v>9</v>
      </c>
      <c r="C208" s="1">
        <v>45655</v>
      </c>
      <c r="D208" t="s">
        <v>40</v>
      </c>
      <c r="E208" t="s">
        <v>41</v>
      </c>
      <c r="F208">
        <v>4274</v>
      </c>
      <c r="G208">
        <v>340</v>
      </c>
      <c r="H208">
        <v>281</v>
      </c>
      <c r="I208">
        <v>34192</v>
      </c>
      <c r="J208">
        <v>33446</v>
      </c>
      <c r="K208">
        <v>129</v>
      </c>
      <c r="L208" t="s">
        <v>37</v>
      </c>
      <c r="M208" t="s">
        <v>38</v>
      </c>
      <c r="N208" s="7">
        <f>(Post5[[#This Row],[Likes]]+Post5[[#This Row],[Shares]]+Post5[[#This Row],[Comments]])/Post5[[#This Row],[Impressions]]</f>
        <v>0.14316214319138981</v>
      </c>
      <c r="O208">
        <f>SUM(Post5[[#This Row],[Likes]],Post5[[#This Row],[Shares]],Post5[[#This Row],[Comments]])</f>
        <v>4895</v>
      </c>
    </row>
    <row r="209" spans="1:15" x14ac:dyDescent="0.25">
      <c r="A209" t="s">
        <v>250</v>
      </c>
      <c r="B209" t="s">
        <v>10</v>
      </c>
      <c r="C209" s="1">
        <v>45467</v>
      </c>
      <c r="D209" t="s">
        <v>55</v>
      </c>
      <c r="E209" t="s">
        <v>56</v>
      </c>
      <c r="F209">
        <v>2949</v>
      </c>
      <c r="G209">
        <v>476</v>
      </c>
      <c r="H209">
        <v>403</v>
      </c>
      <c r="I209">
        <v>44235</v>
      </c>
      <c r="J209">
        <v>43705</v>
      </c>
      <c r="K209">
        <v>135</v>
      </c>
      <c r="L209" t="s">
        <v>42</v>
      </c>
      <c r="M209" t="s">
        <v>26</v>
      </c>
      <c r="N209" s="7">
        <f>(Post5[[#This Row],[Likes]]+Post5[[#This Row],[Shares]]+Post5[[#This Row],[Comments]])/Post5[[#This Row],[Impressions]]</f>
        <v>8.6537809426924378E-2</v>
      </c>
      <c r="O209">
        <f>SUM(Post5[[#This Row],[Likes]],Post5[[#This Row],[Shares]],Post5[[#This Row],[Comments]])</f>
        <v>3828</v>
      </c>
    </row>
    <row r="210" spans="1:15" x14ac:dyDescent="0.25">
      <c r="A210" t="s">
        <v>251</v>
      </c>
      <c r="B210" t="s">
        <v>9</v>
      </c>
      <c r="C210" s="1">
        <v>45735</v>
      </c>
      <c r="D210" t="s">
        <v>55</v>
      </c>
      <c r="E210" t="s">
        <v>56</v>
      </c>
      <c r="F210">
        <v>3160</v>
      </c>
      <c r="G210">
        <v>204</v>
      </c>
      <c r="H210">
        <v>297</v>
      </c>
      <c r="I210">
        <v>44240</v>
      </c>
      <c r="J210">
        <v>43666</v>
      </c>
      <c r="K210">
        <v>49</v>
      </c>
      <c r="L210" t="s">
        <v>37</v>
      </c>
      <c r="M210" t="s">
        <v>26</v>
      </c>
      <c r="N210" s="7">
        <f>(Post5[[#This Row],[Likes]]+Post5[[#This Row],[Shares]]+Post5[[#This Row],[Comments]])/Post5[[#This Row],[Impressions]]</f>
        <v>8.2753164556962022E-2</v>
      </c>
      <c r="O210">
        <f>SUM(Post5[[#This Row],[Likes]],Post5[[#This Row],[Shares]],Post5[[#This Row],[Comments]])</f>
        <v>3661</v>
      </c>
    </row>
    <row r="211" spans="1:15" x14ac:dyDescent="0.25">
      <c r="A211" t="s">
        <v>252</v>
      </c>
      <c r="B211" t="s">
        <v>10</v>
      </c>
      <c r="C211" s="1">
        <v>45707</v>
      </c>
      <c r="D211" t="s">
        <v>45</v>
      </c>
      <c r="E211" t="s">
        <v>46</v>
      </c>
      <c r="F211">
        <v>257</v>
      </c>
      <c r="G211">
        <v>966</v>
      </c>
      <c r="H211">
        <v>398</v>
      </c>
      <c r="I211">
        <v>3341</v>
      </c>
      <c r="J211">
        <v>2753</v>
      </c>
      <c r="K211">
        <v>287</v>
      </c>
      <c r="L211" t="s">
        <v>42</v>
      </c>
      <c r="M211" t="s">
        <v>26</v>
      </c>
      <c r="N211" s="7">
        <f>(Post5[[#This Row],[Likes]]+Post5[[#This Row],[Shares]]+Post5[[#This Row],[Comments]])/Post5[[#This Row],[Impressions]]</f>
        <v>0.48518407662376534</v>
      </c>
      <c r="O211">
        <f>SUM(Post5[[#This Row],[Likes]],Post5[[#This Row],[Shares]],Post5[[#This Row],[Comments]])</f>
        <v>1621</v>
      </c>
    </row>
    <row r="212" spans="1:15" x14ac:dyDescent="0.25">
      <c r="A212" t="s">
        <v>253</v>
      </c>
      <c r="B212" t="s">
        <v>9</v>
      </c>
      <c r="C212" s="1">
        <v>45491</v>
      </c>
      <c r="D212" t="s">
        <v>40</v>
      </c>
      <c r="E212" t="s">
        <v>41</v>
      </c>
      <c r="F212">
        <v>2120</v>
      </c>
      <c r="G212">
        <v>38</v>
      </c>
      <c r="H212">
        <v>212</v>
      </c>
      <c r="I212">
        <v>12720</v>
      </c>
      <c r="J212">
        <v>12564</v>
      </c>
      <c r="K212">
        <v>21</v>
      </c>
      <c r="L212" t="s">
        <v>42</v>
      </c>
      <c r="M212" t="s">
        <v>26</v>
      </c>
      <c r="N212" s="7">
        <f>(Post5[[#This Row],[Likes]]+Post5[[#This Row],[Shares]]+Post5[[#This Row],[Comments]])/Post5[[#This Row],[Impressions]]</f>
        <v>0.18632075471698112</v>
      </c>
      <c r="O212">
        <f>SUM(Post5[[#This Row],[Likes]],Post5[[#This Row],[Shares]],Post5[[#This Row],[Comments]])</f>
        <v>2370</v>
      </c>
    </row>
    <row r="213" spans="1:15" x14ac:dyDescent="0.25">
      <c r="A213" t="s">
        <v>254</v>
      </c>
      <c r="B213" t="s">
        <v>10</v>
      </c>
      <c r="C213" s="1">
        <v>45719</v>
      </c>
      <c r="D213" t="s">
        <v>55</v>
      </c>
      <c r="E213" t="s">
        <v>56</v>
      </c>
      <c r="F213">
        <v>3874</v>
      </c>
      <c r="G213">
        <v>884</v>
      </c>
      <c r="H213">
        <v>19</v>
      </c>
      <c r="I213">
        <v>38740</v>
      </c>
      <c r="J213">
        <v>38552</v>
      </c>
      <c r="K213">
        <v>219</v>
      </c>
      <c r="L213" t="s">
        <v>37</v>
      </c>
      <c r="M213" t="s">
        <v>49</v>
      </c>
      <c r="N213" s="7">
        <f>(Post5[[#This Row],[Likes]]+Post5[[#This Row],[Shares]]+Post5[[#This Row],[Comments]])/Post5[[#This Row],[Impressions]]</f>
        <v>0.123309241094476</v>
      </c>
      <c r="O213">
        <f>SUM(Post5[[#This Row],[Likes]],Post5[[#This Row],[Shares]],Post5[[#This Row],[Comments]])</f>
        <v>4777</v>
      </c>
    </row>
    <row r="214" spans="1:15" x14ac:dyDescent="0.25">
      <c r="A214" t="s">
        <v>255</v>
      </c>
      <c r="B214" t="s">
        <v>8</v>
      </c>
      <c r="C214" s="1">
        <v>45778</v>
      </c>
      <c r="D214" t="s">
        <v>40</v>
      </c>
      <c r="E214" t="s">
        <v>41</v>
      </c>
      <c r="F214">
        <v>2696</v>
      </c>
      <c r="G214">
        <v>628</v>
      </c>
      <c r="H214">
        <v>443</v>
      </c>
      <c r="I214">
        <v>45832</v>
      </c>
      <c r="J214">
        <v>45632</v>
      </c>
      <c r="K214">
        <v>248</v>
      </c>
      <c r="L214" t="s">
        <v>25</v>
      </c>
      <c r="M214" t="s">
        <v>38</v>
      </c>
      <c r="N214" s="7">
        <f>(Post5[[#This Row],[Likes]]+Post5[[#This Row],[Shares]]+Post5[[#This Row],[Comments]])/Post5[[#This Row],[Impressions]]</f>
        <v>8.21914819340199E-2</v>
      </c>
      <c r="O214">
        <f>SUM(Post5[[#This Row],[Likes]],Post5[[#This Row],[Shares]],Post5[[#This Row],[Comments]])</f>
        <v>3767</v>
      </c>
    </row>
    <row r="215" spans="1:15" x14ac:dyDescent="0.25">
      <c r="A215" t="s">
        <v>256</v>
      </c>
      <c r="B215" t="s">
        <v>7</v>
      </c>
      <c r="C215" s="1">
        <v>45649</v>
      </c>
      <c r="D215" t="s">
        <v>45</v>
      </c>
      <c r="E215" t="s">
        <v>46</v>
      </c>
      <c r="F215">
        <v>521</v>
      </c>
      <c r="G215">
        <v>746</v>
      </c>
      <c r="H215">
        <v>315</v>
      </c>
      <c r="I215">
        <v>4168</v>
      </c>
      <c r="J215">
        <v>3399</v>
      </c>
      <c r="K215">
        <v>282</v>
      </c>
      <c r="L215" t="s">
        <v>25</v>
      </c>
      <c r="M215" t="s">
        <v>26</v>
      </c>
      <c r="N215" s="7">
        <f>(Post5[[#This Row],[Likes]]+Post5[[#This Row],[Shares]]+Post5[[#This Row],[Comments]])/Post5[[#This Row],[Impressions]]</f>
        <v>0.37955854126679461</v>
      </c>
      <c r="O215">
        <f>SUM(Post5[[#This Row],[Likes]],Post5[[#This Row],[Shares]],Post5[[#This Row],[Comments]])</f>
        <v>1582</v>
      </c>
    </row>
    <row r="216" spans="1:15" x14ac:dyDescent="0.25">
      <c r="A216" t="s">
        <v>257</v>
      </c>
      <c r="B216" t="s">
        <v>8</v>
      </c>
      <c r="C216" s="1">
        <v>45783</v>
      </c>
      <c r="D216" t="s">
        <v>45</v>
      </c>
      <c r="E216" t="s">
        <v>46</v>
      </c>
      <c r="F216">
        <v>4872</v>
      </c>
      <c r="G216">
        <v>925</v>
      </c>
      <c r="H216">
        <v>176</v>
      </c>
      <c r="I216">
        <v>82824</v>
      </c>
      <c r="J216">
        <v>82543</v>
      </c>
      <c r="K216">
        <v>89</v>
      </c>
      <c r="L216" t="s">
        <v>25</v>
      </c>
      <c r="M216" t="s">
        <v>26</v>
      </c>
      <c r="N216" s="7">
        <f>(Post5[[#This Row],[Likes]]+Post5[[#This Row],[Shares]]+Post5[[#This Row],[Comments]])/Post5[[#This Row],[Impressions]]</f>
        <v>7.2116777745580993E-2</v>
      </c>
      <c r="O216">
        <f>SUM(Post5[[#This Row],[Likes]],Post5[[#This Row],[Shares]],Post5[[#This Row],[Comments]])</f>
        <v>5973</v>
      </c>
    </row>
    <row r="217" spans="1:15" x14ac:dyDescent="0.25">
      <c r="A217" t="s">
        <v>258</v>
      </c>
      <c r="B217" t="s">
        <v>10</v>
      </c>
      <c r="C217" s="1">
        <v>45502</v>
      </c>
      <c r="D217" t="s">
        <v>34</v>
      </c>
      <c r="E217" t="s">
        <v>35</v>
      </c>
      <c r="F217">
        <v>1509</v>
      </c>
      <c r="G217">
        <v>88</v>
      </c>
      <c r="H217">
        <v>163</v>
      </c>
      <c r="I217">
        <v>30180</v>
      </c>
      <c r="J217">
        <v>29689</v>
      </c>
      <c r="K217">
        <v>119</v>
      </c>
      <c r="L217" t="s">
        <v>42</v>
      </c>
      <c r="M217" t="s">
        <v>26</v>
      </c>
      <c r="N217" s="7">
        <f>(Post5[[#This Row],[Likes]]+Post5[[#This Row],[Shares]]+Post5[[#This Row],[Comments]])/Post5[[#This Row],[Impressions]]</f>
        <v>5.8316766070245198E-2</v>
      </c>
      <c r="O217">
        <f>SUM(Post5[[#This Row],[Likes]],Post5[[#This Row],[Shares]],Post5[[#This Row],[Comments]])</f>
        <v>1760</v>
      </c>
    </row>
    <row r="218" spans="1:15" x14ac:dyDescent="0.25">
      <c r="A218" t="s">
        <v>259</v>
      </c>
      <c r="B218" t="s">
        <v>8</v>
      </c>
      <c r="C218" s="1">
        <v>45629</v>
      </c>
      <c r="D218" t="s">
        <v>45</v>
      </c>
      <c r="E218" t="s">
        <v>46</v>
      </c>
      <c r="F218">
        <v>4606</v>
      </c>
      <c r="G218">
        <v>931</v>
      </c>
      <c r="H218">
        <v>230</v>
      </c>
      <c r="I218">
        <v>92120</v>
      </c>
      <c r="J218">
        <v>91440</v>
      </c>
      <c r="K218">
        <v>56</v>
      </c>
      <c r="L218" t="s">
        <v>57</v>
      </c>
      <c r="M218" t="s">
        <v>38</v>
      </c>
      <c r="N218" s="7">
        <f>(Post5[[#This Row],[Likes]]+Post5[[#This Row],[Shares]]+Post5[[#This Row],[Comments]])/Post5[[#This Row],[Impressions]]</f>
        <v>6.2603126356925748E-2</v>
      </c>
      <c r="O218">
        <f>SUM(Post5[[#This Row],[Likes]],Post5[[#This Row],[Shares]],Post5[[#This Row],[Comments]])</f>
        <v>5767</v>
      </c>
    </row>
    <row r="219" spans="1:15" x14ac:dyDescent="0.25">
      <c r="A219" t="s">
        <v>260</v>
      </c>
      <c r="B219" t="s">
        <v>8</v>
      </c>
      <c r="C219" s="1">
        <v>45454</v>
      </c>
      <c r="D219" t="s">
        <v>40</v>
      </c>
      <c r="E219" t="s">
        <v>41</v>
      </c>
      <c r="F219">
        <v>1869</v>
      </c>
      <c r="G219">
        <v>453</v>
      </c>
      <c r="H219">
        <v>490</v>
      </c>
      <c r="I219">
        <v>14952</v>
      </c>
      <c r="J219">
        <v>14309</v>
      </c>
      <c r="K219">
        <v>275</v>
      </c>
      <c r="L219" t="s">
        <v>57</v>
      </c>
      <c r="M219" t="s">
        <v>26</v>
      </c>
      <c r="N219" s="7">
        <f>(Post5[[#This Row],[Likes]]+Post5[[#This Row],[Shares]]+Post5[[#This Row],[Comments]])/Post5[[#This Row],[Impressions]]</f>
        <v>0.18806848582129482</v>
      </c>
      <c r="O219">
        <f>SUM(Post5[[#This Row],[Likes]],Post5[[#This Row],[Shares]],Post5[[#This Row],[Comments]])</f>
        <v>2812</v>
      </c>
    </row>
    <row r="220" spans="1:15" x14ac:dyDescent="0.25">
      <c r="A220" t="s">
        <v>261</v>
      </c>
      <c r="B220" t="s">
        <v>9</v>
      </c>
      <c r="C220" s="1">
        <v>45685</v>
      </c>
      <c r="D220" t="s">
        <v>23</v>
      </c>
      <c r="E220" t="s">
        <v>24</v>
      </c>
      <c r="F220">
        <v>1188</v>
      </c>
      <c r="G220">
        <v>470</v>
      </c>
      <c r="H220">
        <v>174</v>
      </c>
      <c r="I220">
        <v>7128</v>
      </c>
      <c r="J220">
        <v>6145</v>
      </c>
      <c r="K220">
        <v>270</v>
      </c>
      <c r="L220" t="s">
        <v>37</v>
      </c>
      <c r="M220" t="s">
        <v>31</v>
      </c>
      <c r="N220" s="7">
        <f>(Post5[[#This Row],[Likes]]+Post5[[#This Row],[Shares]]+Post5[[#This Row],[Comments]])/Post5[[#This Row],[Impressions]]</f>
        <v>0.25701459034792368</v>
      </c>
      <c r="O220">
        <f>SUM(Post5[[#This Row],[Likes]],Post5[[#This Row],[Shares]],Post5[[#This Row],[Comments]])</f>
        <v>1832</v>
      </c>
    </row>
    <row r="221" spans="1:15" x14ac:dyDescent="0.25">
      <c r="A221" t="s">
        <v>262</v>
      </c>
      <c r="B221" t="s">
        <v>7</v>
      </c>
      <c r="C221" s="1">
        <v>45445</v>
      </c>
      <c r="D221" t="s">
        <v>34</v>
      </c>
      <c r="E221" t="s">
        <v>35</v>
      </c>
      <c r="F221">
        <v>84</v>
      </c>
      <c r="G221">
        <v>897</v>
      </c>
      <c r="H221">
        <v>85</v>
      </c>
      <c r="I221">
        <v>588</v>
      </c>
      <c r="J221">
        <v>8</v>
      </c>
      <c r="K221">
        <v>12</v>
      </c>
      <c r="L221" t="s">
        <v>37</v>
      </c>
      <c r="M221" t="s">
        <v>31</v>
      </c>
      <c r="N221" s="7">
        <f>(Post5[[#This Row],[Likes]]+Post5[[#This Row],[Shares]]+Post5[[#This Row],[Comments]])/Post5[[#This Row],[Impressions]]</f>
        <v>1.8129251700680271</v>
      </c>
      <c r="O221">
        <f>SUM(Post5[[#This Row],[Likes]],Post5[[#This Row],[Shares]],Post5[[#This Row],[Comments]])</f>
        <v>1066</v>
      </c>
    </row>
    <row r="222" spans="1:15" x14ac:dyDescent="0.25">
      <c r="A222" t="s">
        <v>263</v>
      </c>
      <c r="B222" t="s">
        <v>8</v>
      </c>
      <c r="C222" s="1">
        <v>45739</v>
      </c>
      <c r="D222" t="s">
        <v>55</v>
      </c>
      <c r="E222" t="s">
        <v>56</v>
      </c>
      <c r="F222">
        <v>4453</v>
      </c>
      <c r="G222">
        <v>111</v>
      </c>
      <c r="H222">
        <v>420</v>
      </c>
      <c r="I222">
        <v>31171</v>
      </c>
      <c r="J222">
        <v>30565</v>
      </c>
      <c r="K222">
        <v>23</v>
      </c>
      <c r="L222" t="s">
        <v>42</v>
      </c>
      <c r="M222" t="s">
        <v>49</v>
      </c>
      <c r="N222" s="7">
        <f>(Post5[[#This Row],[Likes]]+Post5[[#This Row],[Shares]]+Post5[[#This Row],[Comments]])/Post5[[#This Row],[Impressions]]</f>
        <v>0.15989220750056141</v>
      </c>
      <c r="O222">
        <f>SUM(Post5[[#This Row],[Likes]],Post5[[#This Row],[Shares]],Post5[[#This Row],[Comments]])</f>
        <v>4984</v>
      </c>
    </row>
    <row r="223" spans="1:15" x14ac:dyDescent="0.25">
      <c r="A223" t="s">
        <v>264</v>
      </c>
      <c r="B223" t="s">
        <v>8</v>
      </c>
      <c r="C223" s="1">
        <v>45573</v>
      </c>
      <c r="D223" t="s">
        <v>23</v>
      </c>
      <c r="E223" t="s">
        <v>24</v>
      </c>
      <c r="F223">
        <v>1814</v>
      </c>
      <c r="G223">
        <v>653</v>
      </c>
      <c r="H223">
        <v>363</v>
      </c>
      <c r="I223">
        <v>25396</v>
      </c>
      <c r="J223">
        <v>25286</v>
      </c>
      <c r="K223">
        <v>39</v>
      </c>
      <c r="L223" t="s">
        <v>37</v>
      </c>
      <c r="M223" t="s">
        <v>26</v>
      </c>
      <c r="N223" s="7">
        <f>(Post5[[#This Row],[Likes]]+Post5[[#This Row],[Shares]]+Post5[[#This Row],[Comments]])/Post5[[#This Row],[Impressions]]</f>
        <v>0.11143487163332809</v>
      </c>
      <c r="O223">
        <f>SUM(Post5[[#This Row],[Likes]],Post5[[#This Row],[Shares]],Post5[[#This Row],[Comments]])</f>
        <v>2830</v>
      </c>
    </row>
    <row r="224" spans="1:15" x14ac:dyDescent="0.25">
      <c r="A224" t="s">
        <v>265</v>
      </c>
      <c r="B224" t="s">
        <v>9</v>
      </c>
      <c r="C224" s="1">
        <v>45608</v>
      </c>
      <c r="D224" t="s">
        <v>45</v>
      </c>
      <c r="E224" t="s">
        <v>46</v>
      </c>
      <c r="F224">
        <v>3338</v>
      </c>
      <c r="G224">
        <v>277</v>
      </c>
      <c r="H224">
        <v>118</v>
      </c>
      <c r="I224">
        <v>60084</v>
      </c>
      <c r="J224">
        <v>59842</v>
      </c>
      <c r="K224">
        <v>252</v>
      </c>
      <c r="L224" t="s">
        <v>37</v>
      </c>
      <c r="M224" t="s">
        <v>26</v>
      </c>
      <c r="N224" s="7">
        <f>(Post5[[#This Row],[Likes]]+Post5[[#This Row],[Shares]]+Post5[[#This Row],[Comments]])/Post5[[#This Row],[Impressions]]</f>
        <v>6.2129685107516146E-2</v>
      </c>
      <c r="O224">
        <f>SUM(Post5[[#This Row],[Likes]],Post5[[#This Row],[Shares]],Post5[[#This Row],[Comments]])</f>
        <v>3733</v>
      </c>
    </row>
    <row r="225" spans="1:15" x14ac:dyDescent="0.25">
      <c r="A225" t="s">
        <v>266</v>
      </c>
      <c r="B225" t="s">
        <v>8</v>
      </c>
      <c r="C225" s="1">
        <v>45790</v>
      </c>
      <c r="D225" t="s">
        <v>45</v>
      </c>
      <c r="E225" t="s">
        <v>46</v>
      </c>
      <c r="F225">
        <v>602</v>
      </c>
      <c r="G225">
        <v>594</v>
      </c>
      <c r="H225">
        <v>156</v>
      </c>
      <c r="I225">
        <v>4214</v>
      </c>
      <c r="J225">
        <v>3363</v>
      </c>
      <c r="K225">
        <v>164</v>
      </c>
      <c r="L225" t="s">
        <v>25</v>
      </c>
      <c r="M225" t="s">
        <v>38</v>
      </c>
      <c r="N225" s="7">
        <f>(Post5[[#This Row],[Likes]]+Post5[[#This Row],[Shares]]+Post5[[#This Row],[Comments]])/Post5[[#This Row],[Impressions]]</f>
        <v>0.32083531086853345</v>
      </c>
      <c r="O225">
        <f>SUM(Post5[[#This Row],[Likes]],Post5[[#This Row],[Shares]],Post5[[#This Row],[Comments]])</f>
        <v>1352</v>
      </c>
    </row>
    <row r="226" spans="1:15" x14ac:dyDescent="0.25">
      <c r="A226" t="s">
        <v>267</v>
      </c>
      <c r="B226" t="s">
        <v>9</v>
      </c>
      <c r="C226" s="1">
        <v>45463</v>
      </c>
      <c r="D226" t="s">
        <v>40</v>
      </c>
      <c r="E226" t="s">
        <v>41</v>
      </c>
      <c r="F226">
        <v>4672</v>
      </c>
      <c r="G226">
        <v>325</v>
      </c>
      <c r="H226">
        <v>32</v>
      </c>
      <c r="I226">
        <v>88768</v>
      </c>
      <c r="J226">
        <v>87833</v>
      </c>
      <c r="K226">
        <v>118</v>
      </c>
      <c r="L226" t="s">
        <v>57</v>
      </c>
      <c r="M226" t="s">
        <v>38</v>
      </c>
      <c r="N226" s="7">
        <f>(Post5[[#This Row],[Likes]]+Post5[[#This Row],[Shares]]+Post5[[#This Row],[Comments]])/Post5[[#This Row],[Impressions]]</f>
        <v>5.6653298485940883E-2</v>
      </c>
      <c r="O226">
        <f>SUM(Post5[[#This Row],[Likes]],Post5[[#This Row],[Shares]],Post5[[#This Row],[Comments]])</f>
        <v>5029</v>
      </c>
    </row>
    <row r="227" spans="1:15" x14ac:dyDescent="0.25">
      <c r="A227" t="s">
        <v>268</v>
      </c>
      <c r="B227" t="s">
        <v>7</v>
      </c>
      <c r="C227" s="1">
        <v>45511</v>
      </c>
      <c r="D227" t="s">
        <v>40</v>
      </c>
      <c r="E227" t="s">
        <v>41</v>
      </c>
      <c r="F227">
        <v>1741</v>
      </c>
      <c r="G227">
        <v>164</v>
      </c>
      <c r="H227">
        <v>318</v>
      </c>
      <c r="I227">
        <v>8705</v>
      </c>
      <c r="J227">
        <v>8272</v>
      </c>
      <c r="K227">
        <v>121</v>
      </c>
      <c r="L227" t="s">
        <v>25</v>
      </c>
      <c r="M227" t="s">
        <v>31</v>
      </c>
      <c r="N227" s="7">
        <f>(Post5[[#This Row],[Likes]]+Post5[[#This Row],[Shares]]+Post5[[#This Row],[Comments]])/Post5[[#This Row],[Impressions]]</f>
        <v>0.25537047673750718</v>
      </c>
      <c r="O227">
        <f>SUM(Post5[[#This Row],[Likes]],Post5[[#This Row],[Shares]],Post5[[#This Row],[Comments]])</f>
        <v>2223</v>
      </c>
    </row>
    <row r="228" spans="1:15" x14ac:dyDescent="0.25">
      <c r="A228" t="s">
        <v>269</v>
      </c>
      <c r="B228" t="s">
        <v>7</v>
      </c>
      <c r="C228" s="1">
        <v>45455</v>
      </c>
      <c r="D228" t="s">
        <v>28</v>
      </c>
      <c r="E228" t="s">
        <v>29</v>
      </c>
      <c r="F228">
        <v>246</v>
      </c>
      <c r="G228">
        <v>149</v>
      </c>
      <c r="H228">
        <v>130</v>
      </c>
      <c r="I228">
        <v>4674</v>
      </c>
      <c r="J228">
        <v>4390</v>
      </c>
      <c r="K228">
        <v>217</v>
      </c>
      <c r="L228" t="s">
        <v>42</v>
      </c>
      <c r="M228" t="s">
        <v>31</v>
      </c>
      <c r="N228" s="7">
        <f>(Post5[[#This Row],[Likes]]+Post5[[#This Row],[Shares]]+Post5[[#This Row],[Comments]])/Post5[[#This Row],[Impressions]]</f>
        <v>0.11232349165596919</v>
      </c>
      <c r="O228">
        <f>SUM(Post5[[#This Row],[Likes]],Post5[[#This Row],[Shares]],Post5[[#This Row],[Comments]])</f>
        <v>525</v>
      </c>
    </row>
    <row r="229" spans="1:15" x14ac:dyDescent="0.25">
      <c r="A229" t="s">
        <v>270</v>
      </c>
      <c r="B229" t="s">
        <v>7</v>
      </c>
      <c r="C229" s="1">
        <v>45474</v>
      </c>
      <c r="D229" t="s">
        <v>34</v>
      </c>
      <c r="E229" t="s">
        <v>35</v>
      </c>
      <c r="F229">
        <v>4808</v>
      </c>
      <c r="G229">
        <v>772</v>
      </c>
      <c r="H229">
        <v>320</v>
      </c>
      <c r="I229">
        <v>72120</v>
      </c>
      <c r="J229">
        <v>71696</v>
      </c>
      <c r="K229">
        <v>195</v>
      </c>
      <c r="L229" t="s">
        <v>42</v>
      </c>
      <c r="M229" t="s">
        <v>49</v>
      </c>
      <c r="N229" s="7">
        <f>(Post5[[#This Row],[Likes]]+Post5[[#This Row],[Shares]]+Post5[[#This Row],[Comments]])/Post5[[#This Row],[Impressions]]</f>
        <v>8.1808097615085965E-2</v>
      </c>
      <c r="O229">
        <f>SUM(Post5[[#This Row],[Likes]],Post5[[#This Row],[Shares]],Post5[[#This Row],[Comments]])</f>
        <v>5900</v>
      </c>
    </row>
    <row r="230" spans="1:15" x14ac:dyDescent="0.25">
      <c r="A230" t="s">
        <v>271</v>
      </c>
      <c r="B230" t="s">
        <v>7</v>
      </c>
      <c r="C230" s="1">
        <v>45476</v>
      </c>
      <c r="D230" t="s">
        <v>40</v>
      </c>
      <c r="E230" t="s">
        <v>41</v>
      </c>
      <c r="F230">
        <v>4799</v>
      </c>
      <c r="G230">
        <v>694</v>
      </c>
      <c r="H230">
        <v>289</v>
      </c>
      <c r="I230">
        <v>43191</v>
      </c>
      <c r="J230">
        <v>42228</v>
      </c>
      <c r="K230">
        <v>118</v>
      </c>
      <c r="L230" t="s">
        <v>42</v>
      </c>
      <c r="M230" t="s">
        <v>31</v>
      </c>
      <c r="N230" s="7">
        <f>(Post5[[#This Row],[Likes]]+Post5[[#This Row],[Shares]]+Post5[[#This Row],[Comments]])/Post5[[#This Row],[Impressions]]</f>
        <v>0.13387048227640017</v>
      </c>
      <c r="O230">
        <f>SUM(Post5[[#This Row],[Likes]],Post5[[#This Row],[Shares]],Post5[[#This Row],[Comments]])</f>
        <v>5782</v>
      </c>
    </row>
    <row r="231" spans="1:15" x14ac:dyDescent="0.25">
      <c r="A231" t="s">
        <v>272</v>
      </c>
      <c r="B231" t="s">
        <v>8</v>
      </c>
      <c r="C231" s="1">
        <v>45488</v>
      </c>
      <c r="D231" t="s">
        <v>23</v>
      </c>
      <c r="E231" t="s">
        <v>24</v>
      </c>
      <c r="F231">
        <v>3663</v>
      </c>
      <c r="G231">
        <v>17</v>
      </c>
      <c r="H231">
        <v>295</v>
      </c>
      <c r="I231">
        <v>51282</v>
      </c>
      <c r="J231">
        <v>50567</v>
      </c>
      <c r="K231">
        <v>84</v>
      </c>
      <c r="L231" t="s">
        <v>25</v>
      </c>
      <c r="M231" t="s">
        <v>26</v>
      </c>
      <c r="N231" s="7">
        <f>(Post5[[#This Row],[Likes]]+Post5[[#This Row],[Shares]]+Post5[[#This Row],[Comments]])/Post5[[#This Row],[Impressions]]</f>
        <v>7.7512577512577507E-2</v>
      </c>
      <c r="O231">
        <f>SUM(Post5[[#This Row],[Likes]],Post5[[#This Row],[Shares]],Post5[[#This Row],[Comments]])</f>
        <v>3975</v>
      </c>
    </row>
    <row r="232" spans="1:15" x14ac:dyDescent="0.25">
      <c r="A232" t="s">
        <v>273</v>
      </c>
      <c r="B232" t="s">
        <v>7</v>
      </c>
      <c r="C232" s="1">
        <v>45778</v>
      </c>
      <c r="D232" t="s">
        <v>28</v>
      </c>
      <c r="E232" t="s">
        <v>29</v>
      </c>
      <c r="F232">
        <v>1430</v>
      </c>
      <c r="G232">
        <v>376</v>
      </c>
      <c r="H232">
        <v>33</v>
      </c>
      <c r="I232">
        <v>21450</v>
      </c>
      <c r="J232">
        <v>20509</v>
      </c>
      <c r="K232">
        <v>251</v>
      </c>
      <c r="L232" t="s">
        <v>57</v>
      </c>
      <c r="M232" t="s">
        <v>38</v>
      </c>
      <c r="N232" s="7">
        <f>(Post5[[#This Row],[Likes]]+Post5[[#This Row],[Shares]]+Post5[[#This Row],[Comments]])/Post5[[#This Row],[Impressions]]</f>
        <v>8.5734265734265735E-2</v>
      </c>
      <c r="O232">
        <f>SUM(Post5[[#This Row],[Likes]],Post5[[#This Row],[Shares]],Post5[[#This Row],[Comments]])</f>
        <v>1839</v>
      </c>
    </row>
    <row r="233" spans="1:15" x14ac:dyDescent="0.25">
      <c r="A233" t="s">
        <v>274</v>
      </c>
      <c r="B233" t="s">
        <v>9</v>
      </c>
      <c r="C233" s="1">
        <v>45776</v>
      </c>
      <c r="D233" t="s">
        <v>34</v>
      </c>
      <c r="E233" t="s">
        <v>35</v>
      </c>
      <c r="F233">
        <v>249</v>
      </c>
      <c r="G233">
        <v>592</v>
      </c>
      <c r="H233">
        <v>230</v>
      </c>
      <c r="I233">
        <v>1494</v>
      </c>
      <c r="J233">
        <v>1044</v>
      </c>
      <c r="K233">
        <v>201</v>
      </c>
      <c r="L233" t="s">
        <v>30</v>
      </c>
      <c r="M233" t="s">
        <v>49</v>
      </c>
      <c r="N233" s="7">
        <f>(Post5[[#This Row],[Likes]]+Post5[[#This Row],[Shares]]+Post5[[#This Row],[Comments]])/Post5[[#This Row],[Impressions]]</f>
        <v>0.7168674698795181</v>
      </c>
      <c r="O233">
        <f>SUM(Post5[[#This Row],[Likes]],Post5[[#This Row],[Shares]],Post5[[#This Row],[Comments]])</f>
        <v>1071</v>
      </c>
    </row>
    <row r="234" spans="1:15" x14ac:dyDescent="0.25">
      <c r="A234" t="s">
        <v>275</v>
      </c>
      <c r="B234" t="s">
        <v>8</v>
      </c>
      <c r="C234" s="1">
        <v>45724</v>
      </c>
      <c r="D234" t="s">
        <v>45</v>
      </c>
      <c r="E234" t="s">
        <v>46</v>
      </c>
      <c r="F234">
        <v>2382</v>
      </c>
      <c r="G234">
        <v>265</v>
      </c>
      <c r="H234">
        <v>134</v>
      </c>
      <c r="I234">
        <v>38112</v>
      </c>
      <c r="J234">
        <v>37437</v>
      </c>
      <c r="K234">
        <v>249</v>
      </c>
      <c r="L234" t="s">
        <v>57</v>
      </c>
      <c r="M234" t="s">
        <v>31</v>
      </c>
      <c r="N234" s="7">
        <f>(Post5[[#This Row],[Likes]]+Post5[[#This Row],[Shares]]+Post5[[#This Row],[Comments]])/Post5[[#This Row],[Impressions]]</f>
        <v>7.2969143576826198E-2</v>
      </c>
      <c r="O234">
        <f>SUM(Post5[[#This Row],[Likes]],Post5[[#This Row],[Shares]],Post5[[#This Row],[Comments]])</f>
        <v>2781</v>
      </c>
    </row>
    <row r="235" spans="1:15" x14ac:dyDescent="0.25">
      <c r="A235" t="s">
        <v>276</v>
      </c>
      <c r="B235" t="s">
        <v>8</v>
      </c>
      <c r="C235" s="1">
        <v>45444</v>
      </c>
      <c r="D235" t="s">
        <v>28</v>
      </c>
      <c r="E235" t="s">
        <v>29</v>
      </c>
      <c r="F235">
        <v>1272</v>
      </c>
      <c r="G235">
        <v>465</v>
      </c>
      <c r="H235">
        <v>99</v>
      </c>
      <c r="I235">
        <v>24168</v>
      </c>
      <c r="J235">
        <v>23719</v>
      </c>
      <c r="K235">
        <v>42</v>
      </c>
      <c r="L235" t="s">
        <v>30</v>
      </c>
      <c r="M235" t="s">
        <v>31</v>
      </c>
      <c r="N235" s="7">
        <f>(Post5[[#This Row],[Likes]]+Post5[[#This Row],[Shares]]+Post5[[#This Row],[Comments]])/Post5[[#This Row],[Impressions]]</f>
        <v>7.5968222442899705E-2</v>
      </c>
      <c r="O235">
        <f>SUM(Post5[[#This Row],[Likes]],Post5[[#This Row],[Shares]],Post5[[#This Row],[Comments]])</f>
        <v>1836</v>
      </c>
    </row>
    <row r="236" spans="1:15" x14ac:dyDescent="0.25">
      <c r="A236" t="s">
        <v>277</v>
      </c>
      <c r="B236" t="s">
        <v>8</v>
      </c>
      <c r="C236" s="1">
        <v>45648</v>
      </c>
      <c r="D236" t="s">
        <v>45</v>
      </c>
      <c r="E236" t="s">
        <v>46</v>
      </c>
      <c r="F236">
        <v>3196</v>
      </c>
      <c r="G236">
        <v>941</v>
      </c>
      <c r="H236">
        <v>376</v>
      </c>
      <c r="I236">
        <v>35156</v>
      </c>
      <c r="J236">
        <v>34444</v>
      </c>
      <c r="K236">
        <v>241</v>
      </c>
      <c r="L236" t="s">
        <v>37</v>
      </c>
      <c r="M236" t="s">
        <v>49</v>
      </c>
      <c r="N236" s="7">
        <f>(Post5[[#This Row],[Likes]]+Post5[[#This Row],[Shares]]+Post5[[#This Row],[Comments]])/Post5[[#This Row],[Impressions]]</f>
        <v>0.1283706906360223</v>
      </c>
      <c r="O236">
        <f>SUM(Post5[[#This Row],[Likes]],Post5[[#This Row],[Shares]],Post5[[#This Row],[Comments]])</f>
        <v>4513</v>
      </c>
    </row>
    <row r="237" spans="1:15" x14ac:dyDescent="0.25">
      <c r="A237" t="s">
        <v>278</v>
      </c>
      <c r="B237" t="s">
        <v>8</v>
      </c>
      <c r="C237" s="1">
        <v>45523</v>
      </c>
      <c r="D237" t="s">
        <v>28</v>
      </c>
      <c r="E237" t="s">
        <v>29</v>
      </c>
      <c r="F237">
        <v>1257</v>
      </c>
      <c r="G237">
        <v>19</v>
      </c>
      <c r="H237">
        <v>351</v>
      </c>
      <c r="I237">
        <v>12570</v>
      </c>
      <c r="J237">
        <v>11660</v>
      </c>
      <c r="K237">
        <v>194</v>
      </c>
      <c r="L237" t="s">
        <v>37</v>
      </c>
      <c r="M237" t="s">
        <v>26</v>
      </c>
      <c r="N237" s="7">
        <f>(Post5[[#This Row],[Likes]]+Post5[[#This Row],[Shares]]+Post5[[#This Row],[Comments]])/Post5[[#This Row],[Impressions]]</f>
        <v>0.12943516308671441</v>
      </c>
      <c r="O237">
        <f>SUM(Post5[[#This Row],[Likes]],Post5[[#This Row],[Shares]],Post5[[#This Row],[Comments]])</f>
        <v>1627</v>
      </c>
    </row>
    <row r="238" spans="1:15" x14ac:dyDescent="0.25">
      <c r="A238" t="s">
        <v>279</v>
      </c>
      <c r="B238" t="s">
        <v>7</v>
      </c>
      <c r="C238" s="1">
        <v>45587</v>
      </c>
      <c r="D238" t="s">
        <v>34</v>
      </c>
      <c r="E238" t="s">
        <v>35</v>
      </c>
      <c r="F238">
        <v>3770</v>
      </c>
      <c r="G238">
        <v>917</v>
      </c>
      <c r="H238">
        <v>129</v>
      </c>
      <c r="I238">
        <v>71630</v>
      </c>
      <c r="J238">
        <v>71322</v>
      </c>
      <c r="K238">
        <v>76</v>
      </c>
      <c r="L238" t="s">
        <v>25</v>
      </c>
      <c r="M238" t="s">
        <v>49</v>
      </c>
      <c r="N238" s="7">
        <f>(Post5[[#This Row],[Likes]]+Post5[[#This Row],[Shares]]+Post5[[#This Row],[Comments]])/Post5[[#This Row],[Impressions]]</f>
        <v>6.7234398994834563E-2</v>
      </c>
      <c r="O238">
        <f>SUM(Post5[[#This Row],[Likes]],Post5[[#This Row],[Shares]],Post5[[#This Row],[Comments]])</f>
        <v>4816</v>
      </c>
    </row>
    <row r="239" spans="1:15" x14ac:dyDescent="0.25">
      <c r="A239" t="s">
        <v>280</v>
      </c>
      <c r="B239" t="s">
        <v>9</v>
      </c>
      <c r="C239" s="1">
        <v>45489</v>
      </c>
      <c r="D239" t="s">
        <v>28</v>
      </c>
      <c r="E239" t="s">
        <v>29</v>
      </c>
      <c r="F239">
        <v>4725</v>
      </c>
      <c r="G239">
        <v>400</v>
      </c>
      <c r="H239">
        <v>362</v>
      </c>
      <c r="I239">
        <v>75600</v>
      </c>
      <c r="J239">
        <v>74927</v>
      </c>
      <c r="K239">
        <v>43</v>
      </c>
      <c r="L239" t="s">
        <v>42</v>
      </c>
      <c r="M239" t="s">
        <v>26</v>
      </c>
      <c r="N239" s="7">
        <f>(Post5[[#This Row],[Likes]]+Post5[[#This Row],[Shares]]+Post5[[#This Row],[Comments]])/Post5[[#This Row],[Impressions]]</f>
        <v>7.2579365079365077E-2</v>
      </c>
      <c r="O239">
        <f>SUM(Post5[[#This Row],[Likes]],Post5[[#This Row],[Shares]],Post5[[#This Row],[Comments]])</f>
        <v>5487</v>
      </c>
    </row>
    <row r="240" spans="1:15" x14ac:dyDescent="0.25">
      <c r="A240" t="s">
        <v>281</v>
      </c>
      <c r="B240" t="s">
        <v>10</v>
      </c>
      <c r="C240" s="1">
        <v>45712</v>
      </c>
      <c r="D240" t="s">
        <v>28</v>
      </c>
      <c r="E240" t="s">
        <v>29</v>
      </c>
      <c r="F240">
        <v>4188</v>
      </c>
      <c r="G240">
        <v>942</v>
      </c>
      <c r="H240">
        <v>118</v>
      </c>
      <c r="I240">
        <v>20940</v>
      </c>
      <c r="J240">
        <v>20471</v>
      </c>
      <c r="K240">
        <v>102</v>
      </c>
      <c r="L240" t="s">
        <v>37</v>
      </c>
      <c r="M240" t="s">
        <v>31</v>
      </c>
      <c r="N240" s="7">
        <f>(Post5[[#This Row],[Likes]]+Post5[[#This Row],[Shares]]+Post5[[#This Row],[Comments]])/Post5[[#This Row],[Impressions]]</f>
        <v>0.25062082139446035</v>
      </c>
      <c r="O240">
        <f>SUM(Post5[[#This Row],[Likes]],Post5[[#This Row],[Shares]],Post5[[#This Row],[Comments]])</f>
        <v>5248</v>
      </c>
    </row>
    <row r="241" spans="1:15" x14ac:dyDescent="0.25">
      <c r="A241" t="s">
        <v>282</v>
      </c>
      <c r="B241" t="s">
        <v>9</v>
      </c>
      <c r="C241" s="1">
        <v>45530</v>
      </c>
      <c r="D241" t="s">
        <v>40</v>
      </c>
      <c r="E241" t="s">
        <v>41</v>
      </c>
      <c r="F241">
        <v>929</v>
      </c>
      <c r="G241">
        <v>192</v>
      </c>
      <c r="H241">
        <v>322</v>
      </c>
      <c r="I241">
        <v>16722</v>
      </c>
      <c r="J241">
        <v>15996</v>
      </c>
      <c r="K241">
        <v>145</v>
      </c>
      <c r="L241" t="s">
        <v>30</v>
      </c>
      <c r="M241" t="s">
        <v>38</v>
      </c>
      <c r="N241" s="7">
        <f>(Post5[[#This Row],[Likes]]+Post5[[#This Row],[Shares]]+Post5[[#This Row],[Comments]])/Post5[[#This Row],[Impressions]]</f>
        <v>8.6293505561535699E-2</v>
      </c>
      <c r="O241">
        <f>SUM(Post5[[#This Row],[Likes]],Post5[[#This Row],[Shares]],Post5[[#This Row],[Comments]])</f>
        <v>1443</v>
      </c>
    </row>
    <row r="242" spans="1:15" x14ac:dyDescent="0.25">
      <c r="A242" t="s">
        <v>283</v>
      </c>
      <c r="B242" t="s">
        <v>8</v>
      </c>
      <c r="C242" s="1">
        <v>45675</v>
      </c>
      <c r="D242" t="s">
        <v>34</v>
      </c>
      <c r="E242" t="s">
        <v>35</v>
      </c>
      <c r="F242">
        <v>4321</v>
      </c>
      <c r="G242">
        <v>874</v>
      </c>
      <c r="H242">
        <v>172</v>
      </c>
      <c r="I242">
        <v>30247</v>
      </c>
      <c r="J242">
        <v>29254</v>
      </c>
      <c r="K242">
        <v>122</v>
      </c>
      <c r="L242" t="s">
        <v>25</v>
      </c>
      <c r="M242" t="s">
        <v>38</v>
      </c>
      <c r="N242" s="7">
        <f>(Post5[[#This Row],[Likes]]+Post5[[#This Row],[Shares]]+Post5[[#This Row],[Comments]])/Post5[[#This Row],[Impressions]]</f>
        <v>0.17743908486792079</v>
      </c>
      <c r="O242">
        <f>SUM(Post5[[#This Row],[Likes]],Post5[[#This Row],[Shares]],Post5[[#This Row],[Comments]])</f>
        <v>5367</v>
      </c>
    </row>
    <row r="243" spans="1:15" x14ac:dyDescent="0.25">
      <c r="A243" t="s">
        <v>284</v>
      </c>
      <c r="B243" t="s">
        <v>8</v>
      </c>
      <c r="C243" s="1">
        <v>45480</v>
      </c>
      <c r="D243" t="s">
        <v>23</v>
      </c>
      <c r="E243" t="s">
        <v>24</v>
      </c>
      <c r="F243">
        <v>4767</v>
      </c>
      <c r="G243">
        <v>190</v>
      </c>
      <c r="H243">
        <v>340</v>
      </c>
      <c r="I243">
        <v>28602</v>
      </c>
      <c r="J243">
        <v>28044</v>
      </c>
      <c r="K243">
        <v>210</v>
      </c>
      <c r="L243" t="s">
        <v>57</v>
      </c>
      <c r="M243" t="s">
        <v>49</v>
      </c>
      <c r="N243" s="7">
        <f>(Post5[[#This Row],[Likes]]+Post5[[#This Row],[Shares]]+Post5[[#This Row],[Comments]])/Post5[[#This Row],[Impressions]]</f>
        <v>0.18519683938186141</v>
      </c>
      <c r="O243">
        <f>SUM(Post5[[#This Row],[Likes]],Post5[[#This Row],[Shares]],Post5[[#This Row],[Comments]])</f>
        <v>5297</v>
      </c>
    </row>
    <row r="244" spans="1:15" x14ac:dyDescent="0.25">
      <c r="A244" t="s">
        <v>285</v>
      </c>
      <c r="B244" t="s">
        <v>9</v>
      </c>
      <c r="C244" s="1">
        <v>45722</v>
      </c>
      <c r="D244" t="s">
        <v>45</v>
      </c>
      <c r="E244" t="s">
        <v>46</v>
      </c>
      <c r="F244">
        <v>3592</v>
      </c>
      <c r="G244">
        <v>911</v>
      </c>
      <c r="H244">
        <v>375</v>
      </c>
      <c r="I244">
        <v>50288</v>
      </c>
      <c r="J244">
        <v>49490</v>
      </c>
      <c r="K244">
        <v>32</v>
      </c>
      <c r="L244" t="s">
        <v>37</v>
      </c>
      <c r="M244" t="s">
        <v>31</v>
      </c>
      <c r="N244" s="7">
        <f>(Post5[[#This Row],[Likes]]+Post5[[#This Row],[Shares]]+Post5[[#This Row],[Comments]])/Post5[[#This Row],[Impressions]]</f>
        <v>9.7001272669424113E-2</v>
      </c>
      <c r="O244">
        <f>SUM(Post5[[#This Row],[Likes]],Post5[[#This Row],[Shares]],Post5[[#This Row],[Comments]])</f>
        <v>4878</v>
      </c>
    </row>
    <row r="245" spans="1:15" x14ac:dyDescent="0.25">
      <c r="A245" t="s">
        <v>286</v>
      </c>
      <c r="B245" t="s">
        <v>10</v>
      </c>
      <c r="C245" s="1">
        <v>45590</v>
      </c>
      <c r="D245" t="s">
        <v>55</v>
      </c>
      <c r="E245" t="s">
        <v>56</v>
      </c>
      <c r="F245">
        <v>4661</v>
      </c>
      <c r="G245">
        <v>935</v>
      </c>
      <c r="H245">
        <v>433</v>
      </c>
      <c r="I245">
        <v>23305</v>
      </c>
      <c r="J245">
        <v>22583</v>
      </c>
      <c r="K245">
        <v>63</v>
      </c>
      <c r="L245" t="s">
        <v>37</v>
      </c>
      <c r="M245" t="s">
        <v>26</v>
      </c>
      <c r="N245" s="7">
        <f>(Post5[[#This Row],[Likes]]+Post5[[#This Row],[Shares]]+Post5[[#This Row],[Comments]])/Post5[[#This Row],[Impressions]]</f>
        <v>0.25869984981763572</v>
      </c>
      <c r="O245">
        <f>SUM(Post5[[#This Row],[Likes]],Post5[[#This Row],[Shares]],Post5[[#This Row],[Comments]])</f>
        <v>6029</v>
      </c>
    </row>
    <row r="246" spans="1:15" x14ac:dyDescent="0.25">
      <c r="A246" t="s">
        <v>287</v>
      </c>
      <c r="B246" t="s">
        <v>8</v>
      </c>
      <c r="C246" s="1">
        <v>45669</v>
      </c>
      <c r="D246" t="s">
        <v>23</v>
      </c>
      <c r="E246" t="s">
        <v>24</v>
      </c>
      <c r="F246">
        <v>4134</v>
      </c>
      <c r="G246">
        <v>824</v>
      </c>
      <c r="H246">
        <v>99</v>
      </c>
      <c r="I246">
        <v>41340</v>
      </c>
      <c r="J246">
        <v>41050</v>
      </c>
      <c r="K246">
        <v>177</v>
      </c>
      <c r="L246" t="s">
        <v>30</v>
      </c>
      <c r="M246" t="s">
        <v>31</v>
      </c>
      <c r="N246" s="7">
        <f>(Post5[[#This Row],[Likes]]+Post5[[#This Row],[Shares]]+Post5[[#This Row],[Comments]])/Post5[[#This Row],[Impressions]]</f>
        <v>0.12232704402515723</v>
      </c>
      <c r="O246">
        <f>SUM(Post5[[#This Row],[Likes]],Post5[[#This Row],[Shares]],Post5[[#This Row],[Comments]])</f>
        <v>5057</v>
      </c>
    </row>
    <row r="247" spans="1:15" x14ac:dyDescent="0.25">
      <c r="A247" t="s">
        <v>288</v>
      </c>
      <c r="B247" t="s">
        <v>8</v>
      </c>
      <c r="C247" s="1">
        <v>45576</v>
      </c>
      <c r="D247" t="s">
        <v>45</v>
      </c>
      <c r="E247" t="s">
        <v>46</v>
      </c>
      <c r="F247">
        <v>400</v>
      </c>
      <c r="G247">
        <v>680</v>
      </c>
      <c r="H247">
        <v>434</v>
      </c>
      <c r="I247">
        <v>6400</v>
      </c>
      <c r="J247">
        <v>5472</v>
      </c>
      <c r="K247">
        <v>160</v>
      </c>
      <c r="L247" t="s">
        <v>25</v>
      </c>
      <c r="M247" t="s">
        <v>31</v>
      </c>
      <c r="N247" s="7">
        <f>(Post5[[#This Row],[Likes]]+Post5[[#This Row],[Shares]]+Post5[[#This Row],[Comments]])/Post5[[#This Row],[Impressions]]</f>
        <v>0.23656250000000001</v>
      </c>
      <c r="O247">
        <f>SUM(Post5[[#This Row],[Likes]],Post5[[#This Row],[Shares]],Post5[[#This Row],[Comments]])</f>
        <v>1514</v>
      </c>
    </row>
    <row r="248" spans="1:15" x14ac:dyDescent="0.25">
      <c r="A248" t="s">
        <v>289</v>
      </c>
      <c r="B248" t="s">
        <v>8</v>
      </c>
      <c r="C248" s="1">
        <v>45531</v>
      </c>
      <c r="D248" t="s">
        <v>23</v>
      </c>
      <c r="E248" t="s">
        <v>24</v>
      </c>
      <c r="F248">
        <v>3960</v>
      </c>
      <c r="G248">
        <v>266</v>
      </c>
      <c r="H248">
        <v>8</v>
      </c>
      <c r="I248">
        <v>35640</v>
      </c>
      <c r="J248">
        <v>34850</v>
      </c>
      <c r="K248">
        <v>208</v>
      </c>
      <c r="L248" t="s">
        <v>42</v>
      </c>
      <c r="M248" t="s">
        <v>49</v>
      </c>
      <c r="N248" s="7">
        <f>(Post5[[#This Row],[Likes]]+Post5[[#This Row],[Shares]]+Post5[[#This Row],[Comments]])/Post5[[#This Row],[Impressions]]</f>
        <v>0.11879910213243547</v>
      </c>
      <c r="O248">
        <f>SUM(Post5[[#This Row],[Likes]],Post5[[#This Row],[Shares]],Post5[[#This Row],[Comments]])</f>
        <v>4234</v>
      </c>
    </row>
    <row r="249" spans="1:15" x14ac:dyDescent="0.25">
      <c r="A249" t="s">
        <v>290</v>
      </c>
      <c r="B249" t="s">
        <v>8</v>
      </c>
      <c r="C249" s="1">
        <v>45690</v>
      </c>
      <c r="D249" t="s">
        <v>34</v>
      </c>
      <c r="E249" t="s">
        <v>35</v>
      </c>
      <c r="F249">
        <v>886</v>
      </c>
      <c r="G249">
        <v>126</v>
      </c>
      <c r="H249">
        <v>153</v>
      </c>
      <c r="I249">
        <v>4430</v>
      </c>
      <c r="J249">
        <v>4037</v>
      </c>
      <c r="K249">
        <v>212</v>
      </c>
      <c r="L249" t="s">
        <v>25</v>
      </c>
      <c r="M249" t="s">
        <v>38</v>
      </c>
      <c r="N249" s="7">
        <f>(Post5[[#This Row],[Likes]]+Post5[[#This Row],[Shares]]+Post5[[#This Row],[Comments]])/Post5[[#This Row],[Impressions]]</f>
        <v>0.26297968397291194</v>
      </c>
      <c r="O249">
        <f>SUM(Post5[[#This Row],[Likes]],Post5[[#This Row],[Shares]],Post5[[#This Row],[Comments]])</f>
        <v>1165</v>
      </c>
    </row>
    <row r="250" spans="1:15" x14ac:dyDescent="0.25">
      <c r="A250" t="s">
        <v>291</v>
      </c>
      <c r="B250" t="s">
        <v>9</v>
      </c>
      <c r="C250" s="1">
        <v>45491</v>
      </c>
      <c r="D250" t="s">
        <v>45</v>
      </c>
      <c r="E250" t="s">
        <v>46</v>
      </c>
      <c r="F250">
        <v>827</v>
      </c>
      <c r="G250">
        <v>77</v>
      </c>
      <c r="H250">
        <v>402</v>
      </c>
      <c r="I250">
        <v>14886</v>
      </c>
      <c r="J250">
        <v>14129</v>
      </c>
      <c r="K250">
        <v>254</v>
      </c>
      <c r="L250" t="s">
        <v>37</v>
      </c>
      <c r="M250" t="s">
        <v>31</v>
      </c>
      <c r="N250" s="7">
        <f>(Post5[[#This Row],[Likes]]+Post5[[#This Row],[Shares]]+Post5[[#This Row],[Comments]])/Post5[[#This Row],[Impressions]]</f>
        <v>8.7733440816874911E-2</v>
      </c>
      <c r="O250">
        <f>SUM(Post5[[#This Row],[Likes]],Post5[[#This Row],[Shares]],Post5[[#This Row],[Comments]])</f>
        <v>1306</v>
      </c>
    </row>
    <row r="251" spans="1:15" x14ac:dyDescent="0.25">
      <c r="A251" t="s">
        <v>292</v>
      </c>
      <c r="B251" t="s">
        <v>8</v>
      </c>
      <c r="C251" s="1">
        <v>45465</v>
      </c>
      <c r="D251" t="s">
        <v>23</v>
      </c>
      <c r="E251" t="s">
        <v>24</v>
      </c>
      <c r="F251">
        <v>3813</v>
      </c>
      <c r="G251">
        <v>935</v>
      </c>
      <c r="H251">
        <v>274</v>
      </c>
      <c r="I251">
        <v>68634</v>
      </c>
      <c r="J251">
        <v>68488</v>
      </c>
      <c r="K251">
        <v>251</v>
      </c>
      <c r="L251" t="s">
        <v>57</v>
      </c>
      <c r="M251" t="s">
        <v>26</v>
      </c>
      <c r="N251" s="7">
        <f>(Post5[[#This Row],[Likes]]+Post5[[#This Row],[Shares]]+Post5[[#This Row],[Comments]])/Post5[[#This Row],[Impressions]]</f>
        <v>7.3170731707317069E-2</v>
      </c>
      <c r="O251">
        <f>SUM(Post5[[#This Row],[Likes]],Post5[[#This Row],[Shares]],Post5[[#This Row],[Comments]])</f>
        <v>5022</v>
      </c>
    </row>
    <row r="252" spans="1:15" x14ac:dyDescent="0.25">
      <c r="A252" t="s">
        <v>293</v>
      </c>
      <c r="B252" t="s">
        <v>7</v>
      </c>
      <c r="C252" s="1">
        <v>45743</v>
      </c>
      <c r="D252" t="s">
        <v>40</v>
      </c>
      <c r="E252" t="s">
        <v>41</v>
      </c>
      <c r="F252">
        <v>1377</v>
      </c>
      <c r="G252">
        <v>796</v>
      </c>
      <c r="H252">
        <v>387</v>
      </c>
      <c r="I252">
        <v>22032</v>
      </c>
      <c r="J252">
        <v>21869</v>
      </c>
      <c r="K252">
        <v>189</v>
      </c>
      <c r="L252" t="s">
        <v>57</v>
      </c>
      <c r="M252" t="s">
        <v>38</v>
      </c>
      <c r="N252" s="7">
        <f>(Post5[[#This Row],[Likes]]+Post5[[#This Row],[Shares]]+Post5[[#This Row],[Comments]])/Post5[[#This Row],[Impressions]]</f>
        <v>0.11619462599854757</v>
      </c>
      <c r="O252">
        <f>SUM(Post5[[#This Row],[Likes]],Post5[[#This Row],[Shares]],Post5[[#This Row],[Comments]])</f>
        <v>2560</v>
      </c>
    </row>
    <row r="253" spans="1:15" x14ac:dyDescent="0.25">
      <c r="A253" t="s">
        <v>294</v>
      </c>
      <c r="B253" t="s">
        <v>8</v>
      </c>
      <c r="C253" s="1">
        <v>45775</v>
      </c>
      <c r="D253" t="s">
        <v>40</v>
      </c>
      <c r="E253" t="s">
        <v>41</v>
      </c>
      <c r="F253">
        <v>2089</v>
      </c>
      <c r="G253">
        <v>476</v>
      </c>
      <c r="H253">
        <v>69</v>
      </c>
      <c r="I253">
        <v>16712</v>
      </c>
      <c r="J253">
        <v>16309</v>
      </c>
      <c r="K253">
        <v>64</v>
      </c>
      <c r="L253" t="s">
        <v>37</v>
      </c>
      <c r="M253" t="s">
        <v>26</v>
      </c>
      <c r="N253" s="7">
        <f>(Post5[[#This Row],[Likes]]+Post5[[#This Row],[Shares]]+Post5[[#This Row],[Comments]])/Post5[[#This Row],[Impressions]]</f>
        <v>0.15761129727142173</v>
      </c>
      <c r="O253">
        <f>SUM(Post5[[#This Row],[Likes]],Post5[[#This Row],[Shares]],Post5[[#This Row],[Comments]])</f>
        <v>2634</v>
      </c>
    </row>
    <row r="254" spans="1:15" x14ac:dyDescent="0.25">
      <c r="A254" t="s">
        <v>295</v>
      </c>
      <c r="B254" t="s">
        <v>9</v>
      </c>
      <c r="C254" s="1">
        <v>45507</v>
      </c>
      <c r="D254" t="s">
        <v>23</v>
      </c>
      <c r="E254" t="s">
        <v>24</v>
      </c>
      <c r="F254">
        <v>3791</v>
      </c>
      <c r="G254">
        <v>593</v>
      </c>
      <c r="H254">
        <v>228</v>
      </c>
      <c r="I254">
        <v>53074</v>
      </c>
      <c r="J254">
        <v>52613</v>
      </c>
      <c r="K254">
        <v>205</v>
      </c>
      <c r="L254" t="s">
        <v>37</v>
      </c>
      <c r="M254" t="s">
        <v>26</v>
      </c>
      <c r="N254" s="7">
        <f>(Post5[[#This Row],[Likes]]+Post5[[#This Row],[Shares]]+Post5[[#This Row],[Comments]])/Post5[[#This Row],[Impressions]]</f>
        <v>8.6897539284772202E-2</v>
      </c>
      <c r="O254">
        <f>SUM(Post5[[#This Row],[Likes]],Post5[[#This Row],[Shares]],Post5[[#This Row],[Comments]])</f>
        <v>4612</v>
      </c>
    </row>
    <row r="255" spans="1:15" x14ac:dyDescent="0.25">
      <c r="A255" t="s">
        <v>296</v>
      </c>
      <c r="B255" t="s">
        <v>9</v>
      </c>
      <c r="C255" s="1">
        <v>45671</v>
      </c>
      <c r="D255" t="s">
        <v>45</v>
      </c>
      <c r="E255" t="s">
        <v>46</v>
      </c>
      <c r="F255">
        <v>2692</v>
      </c>
      <c r="G255">
        <v>115</v>
      </c>
      <c r="H255">
        <v>64</v>
      </c>
      <c r="I255">
        <v>21536</v>
      </c>
      <c r="J255">
        <v>21120</v>
      </c>
      <c r="K255">
        <v>224</v>
      </c>
      <c r="L255" t="s">
        <v>57</v>
      </c>
      <c r="M255" t="s">
        <v>49</v>
      </c>
      <c r="N255" s="7">
        <f>(Post5[[#This Row],[Likes]]+Post5[[#This Row],[Shares]]+Post5[[#This Row],[Comments]])/Post5[[#This Row],[Impressions]]</f>
        <v>0.13331166419019316</v>
      </c>
      <c r="O255">
        <f>SUM(Post5[[#This Row],[Likes]],Post5[[#This Row],[Shares]],Post5[[#This Row],[Comments]])</f>
        <v>2871</v>
      </c>
    </row>
    <row r="256" spans="1:15" x14ac:dyDescent="0.25">
      <c r="A256" t="s">
        <v>297</v>
      </c>
      <c r="B256" t="s">
        <v>8</v>
      </c>
      <c r="C256" s="1">
        <v>45750</v>
      </c>
      <c r="D256" t="s">
        <v>34</v>
      </c>
      <c r="E256" t="s">
        <v>35</v>
      </c>
      <c r="F256">
        <v>3767</v>
      </c>
      <c r="G256">
        <v>514</v>
      </c>
      <c r="H256">
        <v>238</v>
      </c>
      <c r="I256">
        <v>37670</v>
      </c>
      <c r="J256">
        <v>36807</v>
      </c>
      <c r="K256">
        <v>226</v>
      </c>
      <c r="L256" t="s">
        <v>37</v>
      </c>
      <c r="M256" t="s">
        <v>26</v>
      </c>
      <c r="N256" s="7">
        <f>(Post5[[#This Row],[Likes]]+Post5[[#This Row],[Shares]]+Post5[[#This Row],[Comments]])/Post5[[#This Row],[Impressions]]</f>
        <v>0.11996283514733209</v>
      </c>
      <c r="O256">
        <f>SUM(Post5[[#This Row],[Likes]],Post5[[#This Row],[Shares]],Post5[[#This Row],[Comments]])</f>
        <v>4519</v>
      </c>
    </row>
    <row r="257" spans="1:15" x14ac:dyDescent="0.25">
      <c r="A257" t="s">
        <v>298</v>
      </c>
      <c r="B257" t="s">
        <v>10</v>
      </c>
      <c r="C257" s="1">
        <v>45553</v>
      </c>
      <c r="D257" t="s">
        <v>40</v>
      </c>
      <c r="E257" t="s">
        <v>41</v>
      </c>
      <c r="F257">
        <v>2143</v>
      </c>
      <c r="G257">
        <v>12</v>
      </c>
      <c r="H257">
        <v>204</v>
      </c>
      <c r="I257">
        <v>40717</v>
      </c>
      <c r="J257">
        <v>40125</v>
      </c>
      <c r="K257">
        <v>248</v>
      </c>
      <c r="L257" t="s">
        <v>57</v>
      </c>
      <c r="M257" t="s">
        <v>49</v>
      </c>
      <c r="N257" s="7">
        <f>(Post5[[#This Row],[Likes]]+Post5[[#This Row],[Shares]]+Post5[[#This Row],[Comments]])/Post5[[#This Row],[Impressions]]</f>
        <v>5.7936488444630008E-2</v>
      </c>
      <c r="O257">
        <f>SUM(Post5[[#This Row],[Likes]],Post5[[#This Row],[Shares]],Post5[[#This Row],[Comments]])</f>
        <v>2359</v>
      </c>
    </row>
    <row r="258" spans="1:15" x14ac:dyDescent="0.25">
      <c r="A258" t="s">
        <v>299</v>
      </c>
      <c r="B258" t="s">
        <v>8</v>
      </c>
      <c r="C258" s="1">
        <v>45753</v>
      </c>
      <c r="D258" t="s">
        <v>45</v>
      </c>
      <c r="E258" t="s">
        <v>46</v>
      </c>
      <c r="F258">
        <v>3090</v>
      </c>
      <c r="G258">
        <v>697</v>
      </c>
      <c r="H258">
        <v>164</v>
      </c>
      <c r="I258">
        <v>49440</v>
      </c>
      <c r="J258">
        <v>48524</v>
      </c>
      <c r="K258">
        <v>25</v>
      </c>
      <c r="L258" t="s">
        <v>57</v>
      </c>
      <c r="M258" t="s">
        <v>49</v>
      </c>
      <c r="N258" s="7">
        <f>(Post5[[#This Row],[Likes]]+Post5[[#This Row],[Shares]]+Post5[[#This Row],[Comments]])/Post5[[#This Row],[Impressions]]</f>
        <v>7.9915048543689318E-2</v>
      </c>
      <c r="O258">
        <f>SUM(Post5[[#This Row],[Likes]],Post5[[#This Row],[Shares]],Post5[[#This Row],[Comments]])</f>
        <v>3951</v>
      </c>
    </row>
    <row r="259" spans="1:15" x14ac:dyDescent="0.25">
      <c r="A259" t="s">
        <v>300</v>
      </c>
      <c r="B259" t="s">
        <v>7</v>
      </c>
      <c r="C259" s="1">
        <v>45509</v>
      </c>
      <c r="D259" t="s">
        <v>34</v>
      </c>
      <c r="E259" t="s">
        <v>35</v>
      </c>
      <c r="F259">
        <v>3601</v>
      </c>
      <c r="G259">
        <v>695</v>
      </c>
      <c r="H259">
        <v>75</v>
      </c>
      <c r="I259">
        <v>21606</v>
      </c>
      <c r="J259">
        <v>21454</v>
      </c>
      <c r="K259">
        <v>172</v>
      </c>
      <c r="L259" t="s">
        <v>37</v>
      </c>
      <c r="M259" t="s">
        <v>31</v>
      </c>
      <c r="N259" s="7">
        <f>(Post5[[#This Row],[Likes]]+Post5[[#This Row],[Shares]]+Post5[[#This Row],[Comments]])/Post5[[#This Row],[Impressions]]</f>
        <v>0.2023049153013052</v>
      </c>
      <c r="O259">
        <f>SUM(Post5[[#This Row],[Likes]],Post5[[#This Row],[Shares]],Post5[[#This Row],[Comments]])</f>
        <v>4371</v>
      </c>
    </row>
    <row r="260" spans="1:15" x14ac:dyDescent="0.25">
      <c r="A260" t="s">
        <v>301</v>
      </c>
      <c r="B260" t="s">
        <v>8</v>
      </c>
      <c r="C260" s="1">
        <v>45698</v>
      </c>
      <c r="D260" t="s">
        <v>28</v>
      </c>
      <c r="E260" t="s">
        <v>29</v>
      </c>
      <c r="F260">
        <v>562</v>
      </c>
      <c r="G260">
        <v>158</v>
      </c>
      <c r="H260">
        <v>149</v>
      </c>
      <c r="I260">
        <v>3372</v>
      </c>
      <c r="J260">
        <v>2940</v>
      </c>
      <c r="K260">
        <v>93</v>
      </c>
      <c r="L260" t="s">
        <v>57</v>
      </c>
      <c r="M260" t="s">
        <v>49</v>
      </c>
      <c r="N260" s="7">
        <f>(Post5[[#This Row],[Likes]]+Post5[[#This Row],[Shares]]+Post5[[#This Row],[Comments]])/Post5[[#This Row],[Impressions]]</f>
        <v>0.25771055753262156</v>
      </c>
      <c r="O260">
        <f>SUM(Post5[[#This Row],[Likes]],Post5[[#This Row],[Shares]],Post5[[#This Row],[Comments]])</f>
        <v>869</v>
      </c>
    </row>
    <row r="261" spans="1:15" x14ac:dyDescent="0.25">
      <c r="A261" t="s">
        <v>302</v>
      </c>
      <c r="B261" t="s">
        <v>7</v>
      </c>
      <c r="C261" s="1">
        <v>45700</v>
      </c>
      <c r="D261" t="s">
        <v>34</v>
      </c>
      <c r="E261" t="s">
        <v>35</v>
      </c>
      <c r="F261">
        <v>4332</v>
      </c>
      <c r="G261">
        <v>771</v>
      </c>
      <c r="H261">
        <v>219</v>
      </c>
      <c r="I261">
        <v>60648</v>
      </c>
      <c r="J261">
        <v>60397</v>
      </c>
      <c r="K261">
        <v>10</v>
      </c>
      <c r="L261" t="s">
        <v>30</v>
      </c>
      <c r="M261" t="s">
        <v>38</v>
      </c>
      <c r="N261" s="7">
        <f>(Post5[[#This Row],[Likes]]+Post5[[#This Row],[Shares]]+Post5[[#This Row],[Comments]])/Post5[[#This Row],[Impressions]]</f>
        <v>8.7752275425405618E-2</v>
      </c>
      <c r="O261">
        <f>SUM(Post5[[#This Row],[Likes]],Post5[[#This Row],[Shares]],Post5[[#This Row],[Comments]])</f>
        <v>5322</v>
      </c>
    </row>
    <row r="262" spans="1:15" x14ac:dyDescent="0.25">
      <c r="A262" t="s">
        <v>303</v>
      </c>
      <c r="B262" t="s">
        <v>7</v>
      </c>
      <c r="C262" s="1">
        <v>45592</v>
      </c>
      <c r="D262" t="s">
        <v>45</v>
      </c>
      <c r="E262" t="s">
        <v>46</v>
      </c>
      <c r="F262">
        <v>4853</v>
      </c>
      <c r="G262">
        <v>837</v>
      </c>
      <c r="H262">
        <v>340</v>
      </c>
      <c r="I262">
        <v>72795</v>
      </c>
      <c r="J262">
        <v>72237</v>
      </c>
      <c r="K262">
        <v>170</v>
      </c>
      <c r="L262" t="s">
        <v>25</v>
      </c>
      <c r="M262" t="s">
        <v>31</v>
      </c>
      <c r="N262" s="7">
        <f>(Post5[[#This Row],[Likes]]+Post5[[#This Row],[Shares]]+Post5[[#This Row],[Comments]])/Post5[[#This Row],[Impressions]]</f>
        <v>8.2835359571399134E-2</v>
      </c>
      <c r="O262">
        <f>SUM(Post5[[#This Row],[Likes]],Post5[[#This Row],[Shares]],Post5[[#This Row],[Comments]])</f>
        <v>6030</v>
      </c>
    </row>
    <row r="263" spans="1:15" x14ac:dyDescent="0.25">
      <c r="A263" t="s">
        <v>304</v>
      </c>
      <c r="B263" t="s">
        <v>10</v>
      </c>
      <c r="C263" s="1">
        <v>45675</v>
      </c>
      <c r="D263" t="s">
        <v>45</v>
      </c>
      <c r="E263" t="s">
        <v>46</v>
      </c>
      <c r="F263">
        <v>1206</v>
      </c>
      <c r="G263">
        <v>238</v>
      </c>
      <c r="H263">
        <v>36</v>
      </c>
      <c r="I263">
        <v>9648</v>
      </c>
      <c r="J263">
        <v>9417</v>
      </c>
      <c r="K263">
        <v>237</v>
      </c>
      <c r="L263" t="s">
        <v>25</v>
      </c>
      <c r="M263" t="s">
        <v>38</v>
      </c>
      <c r="N263" s="7">
        <f>(Post5[[#This Row],[Likes]]+Post5[[#This Row],[Shares]]+Post5[[#This Row],[Comments]])/Post5[[#This Row],[Impressions]]</f>
        <v>0.15339966832504145</v>
      </c>
      <c r="O263">
        <f>SUM(Post5[[#This Row],[Likes]],Post5[[#This Row],[Shares]],Post5[[#This Row],[Comments]])</f>
        <v>1480</v>
      </c>
    </row>
    <row r="264" spans="1:15" x14ac:dyDescent="0.25">
      <c r="A264" t="s">
        <v>305</v>
      </c>
      <c r="B264" t="s">
        <v>7</v>
      </c>
      <c r="C264" s="1">
        <v>45524</v>
      </c>
      <c r="D264" t="s">
        <v>23</v>
      </c>
      <c r="E264" t="s">
        <v>24</v>
      </c>
      <c r="F264">
        <v>2603</v>
      </c>
      <c r="G264">
        <v>690</v>
      </c>
      <c r="H264">
        <v>205</v>
      </c>
      <c r="I264">
        <v>13015</v>
      </c>
      <c r="J264">
        <v>12130</v>
      </c>
      <c r="K264">
        <v>20</v>
      </c>
      <c r="L264" t="s">
        <v>42</v>
      </c>
      <c r="M264" t="s">
        <v>26</v>
      </c>
      <c r="N264" s="7">
        <f>(Post5[[#This Row],[Likes]]+Post5[[#This Row],[Shares]]+Post5[[#This Row],[Comments]])/Post5[[#This Row],[Impressions]]</f>
        <v>0.26876680752977333</v>
      </c>
      <c r="O264">
        <f>SUM(Post5[[#This Row],[Likes]],Post5[[#This Row],[Shares]],Post5[[#This Row],[Comments]])</f>
        <v>3498</v>
      </c>
    </row>
    <row r="265" spans="1:15" x14ac:dyDescent="0.25">
      <c r="A265" t="s">
        <v>306</v>
      </c>
      <c r="B265" t="s">
        <v>9</v>
      </c>
      <c r="C265" s="1">
        <v>45687</v>
      </c>
      <c r="D265" t="s">
        <v>45</v>
      </c>
      <c r="E265" t="s">
        <v>46</v>
      </c>
      <c r="F265">
        <v>59</v>
      </c>
      <c r="G265">
        <v>163</v>
      </c>
      <c r="H265">
        <v>93</v>
      </c>
      <c r="I265">
        <v>590</v>
      </c>
      <c r="J265">
        <v>475</v>
      </c>
      <c r="K265">
        <v>293</v>
      </c>
      <c r="L265" t="s">
        <v>42</v>
      </c>
      <c r="M265" t="s">
        <v>49</v>
      </c>
      <c r="N265" s="7">
        <f>(Post5[[#This Row],[Likes]]+Post5[[#This Row],[Shares]]+Post5[[#This Row],[Comments]])/Post5[[#This Row],[Impressions]]</f>
        <v>0.53389830508474578</v>
      </c>
      <c r="O265">
        <f>SUM(Post5[[#This Row],[Likes]],Post5[[#This Row],[Shares]],Post5[[#This Row],[Comments]])</f>
        <v>315</v>
      </c>
    </row>
    <row r="266" spans="1:15" x14ac:dyDescent="0.25">
      <c r="A266" t="s">
        <v>307</v>
      </c>
      <c r="B266" t="s">
        <v>9</v>
      </c>
      <c r="C266" s="1">
        <v>45708</v>
      </c>
      <c r="D266" t="s">
        <v>40</v>
      </c>
      <c r="E266" t="s">
        <v>41</v>
      </c>
      <c r="F266">
        <v>1877</v>
      </c>
      <c r="G266">
        <v>745</v>
      </c>
      <c r="H266">
        <v>225</v>
      </c>
      <c r="I266">
        <v>11262</v>
      </c>
      <c r="J266">
        <v>10967</v>
      </c>
      <c r="K266">
        <v>41</v>
      </c>
      <c r="L266" t="s">
        <v>37</v>
      </c>
      <c r="M266" t="s">
        <v>26</v>
      </c>
      <c r="N266" s="7">
        <f>(Post5[[#This Row],[Likes]]+Post5[[#This Row],[Shares]]+Post5[[#This Row],[Comments]])/Post5[[#This Row],[Impressions]]</f>
        <v>0.25279701651571657</v>
      </c>
      <c r="O266">
        <f>SUM(Post5[[#This Row],[Likes]],Post5[[#This Row],[Shares]],Post5[[#This Row],[Comments]])</f>
        <v>2847</v>
      </c>
    </row>
    <row r="267" spans="1:15" x14ac:dyDescent="0.25">
      <c r="A267" t="s">
        <v>308</v>
      </c>
      <c r="B267" t="s">
        <v>8</v>
      </c>
      <c r="C267" s="1">
        <v>45621</v>
      </c>
      <c r="D267" t="s">
        <v>34</v>
      </c>
      <c r="E267" t="s">
        <v>35</v>
      </c>
      <c r="F267">
        <v>4182</v>
      </c>
      <c r="G267">
        <v>640</v>
      </c>
      <c r="H267">
        <v>240</v>
      </c>
      <c r="I267">
        <v>50184</v>
      </c>
      <c r="J267">
        <v>49351</v>
      </c>
      <c r="K267">
        <v>10</v>
      </c>
      <c r="L267" t="s">
        <v>25</v>
      </c>
      <c r="M267" t="s">
        <v>38</v>
      </c>
      <c r="N267" s="7">
        <f>(Post5[[#This Row],[Likes]]+Post5[[#This Row],[Shares]]+Post5[[#This Row],[Comments]])/Post5[[#This Row],[Impressions]]</f>
        <v>0.10086880280567512</v>
      </c>
      <c r="O267">
        <f>SUM(Post5[[#This Row],[Likes]],Post5[[#This Row],[Shares]],Post5[[#This Row],[Comments]])</f>
        <v>5062</v>
      </c>
    </row>
    <row r="268" spans="1:15" x14ac:dyDescent="0.25">
      <c r="A268" t="s">
        <v>309</v>
      </c>
      <c r="B268" t="s">
        <v>9</v>
      </c>
      <c r="C268" s="1">
        <v>45569</v>
      </c>
      <c r="D268" t="s">
        <v>23</v>
      </c>
      <c r="E268" t="s">
        <v>24</v>
      </c>
      <c r="F268">
        <v>4187</v>
      </c>
      <c r="G268">
        <v>66</v>
      </c>
      <c r="H268">
        <v>31</v>
      </c>
      <c r="I268">
        <v>66992</v>
      </c>
      <c r="J268">
        <v>66614</v>
      </c>
      <c r="K268">
        <v>62</v>
      </c>
      <c r="L268" t="s">
        <v>37</v>
      </c>
      <c r="M268" t="s">
        <v>49</v>
      </c>
      <c r="N268" s="7">
        <f>(Post5[[#This Row],[Likes]]+Post5[[#This Row],[Shares]]+Post5[[#This Row],[Comments]])/Post5[[#This Row],[Impressions]]</f>
        <v>6.3947934081681396E-2</v>
      </c>
      <c r="O268">
        <f>SUM(Post5[[#This Row],[Likes]],Post5[[#This Row],[Shares]],Post5[[#This Row],[Comments]])</f>
        <v>4284</v>
      </c>
    </row>
    <row r="269" spans="1:15" x14ac:dyDescent="0.25">
      <c r="A269" t="s">
        <v>310</v>
      </c>
      <c r="B269" t="s">
        <v>7</v>
      </c>
      <c r="C269" s="1">
        <v>45760</v>
      </c>
      <c r="D269" t="s">
        <v>23</v>
      </c>
      <c r="E269" t="s">
        <v>24</v>
      </c>
      <c r="F269">
        <v>4579</v>
      </c>
      <c r="G269">
        <v>125</v>
      </c>
      <c r="H269">
        <v>300</v>
      </c>
      <c r="I269">
        <v>59527</v>
      </c>
      <c r="J269">
        <v>59400</v>
      </c>
      <c r="K269">
        <v>269</v>
      </c>
      <c r="L269" t="s">
        <v>37</v>
      </c>
      <c r="M269" t="s">
        <v>26</v>
      </c>
      <c r="N269" s="7">
        <f>(Post5[[#This Row],[Likes]]+Post5[[#This Row],[Shares]]+Post5[[#This Row],[Comments]])/Post5[[#This Row],[Impressions]]</f>
        <v>8.4062694239588759E-2</v>
      </c>
      <c r="O269">
        <f>SUM(Post5[[#This Row],[Likes]],Post5[[#This Row],[Shares]],Post5[[#This Row],[Comments]])</f>
        <v>5004</v>
      </c>
    </row>
    <row r="270" spans="1:15" x14ac:dyDescent="0.25">
      <c r="A270" t="s">
        <v>311</v>
      </c>
      <c r="B270" t="s">
        <v>7</v>
      </c>
      <c r="C270" s="1">
        <v>45601</v>
      </c>
      <c r="D270" t="s">
        <v>55</v>
      </c>
      <c r="E270" t="s">
        <v>56</v>
      </c>
      <c r="F270">
        <v>4561</v>
      </c>
      <c r="G270">
        <v>51</v>
      </c>
      <c r="H270">
        <v>441</v>
      </c>
      <c r="I270">
        <v>22805</v>
      </c>
      <c r="J270">
        <v>21890</v>
      </c>
      <c r="K270">
        <v>45</v>
      </c>
      <c r="L270" t="s">
        <v>37</v>
      </c>
      <c r="M270" t="s">
        <v>31</v>
      </c>
      <c r="N270" s="7">
        <f>(Post5[[#This Row],[Likes]]+Post5[[#This Row],[Shares]]+Post5[[#This Row],[Comments]])/Post5[[#This Row],[Impressions]]</f>
        <v>0.22157421618066214</v>
      </c>
      <c r="O270">
        <f>SUM(Post5[[#This Row],[Likes]],Post5[[#This Row],[Shares]],Post5[[#This Row],[Comments]])</f>
        <v>5053</v>
      </c>
    </row>
    <row r="271" spans="1:15" x14ac:dyDescent="0.25">
      <c r="A271" t="s">
        <v>312</v>
      </c>
      <c r="B271" t="s">
        <v>10</v>
      </c>
      <c r="C271" s="1">
        <v>45672</v>
      </c>
      <c r="D271" t="s">
        <v>23</v>
      </c>
      <c r="E271" t="s">
        <v>24</v>
      </c>
      <c r="F271">
        <v>3774</v>
      </c>
      <c r="G271">
        <v>239</v>
      </c>
      <c r="H271">
        <v>39</v>
      </c>
      <c r="I271">
        <v>60384</v>
      </c>
      <c r="J271">
        <v>59490</v>
      </c>
      <c r="K271">
        <v>241</v>
      </c>
      <c r="L271" t="s">
        <v>57</v>
      </c>
      <c r="M271" t="s">
        <v>38</v>
      </c>
      <c r="N271" s="7">
        <f>(Post5[[#This Row],[Likes]]+Post5[[#This Row],[Shares]]+Post5[[#This Row],[Comments]])/Post5[[#This Row],[Impressions]]</f>
        <v>6.7103868574456813E-2</v>
      </c>
      <c r="O271">
        <f>SUM(Post5[[#This Row],[Likes]],Post5[[#This Row],[Shares]],Post5[[#This Row],[Comments]])</f>
        <v>4052</v>
      </c>
    </row>
    <row r="272" spans="1:15" x14ac:dyDescent="0.25">
      <c r="A272" t="s">
        <v>313</v>
      </c>
      <c r="B272" t="s">
        <v>7</v>
      </c>
      <c r="C272" s="1">
        <v>45582</v>
      </c>
      <c r="D272" t="s">
        <v>55</v>
      </c>
      <c r="E272" t="s">
        <v>56</v>
      </c>
      <c r="F272">
        <v>3575</v>
      </c>
      <c r="G272">
        <v>749</v>
      </c>
      <c r="H272">
        <v>111</v>
      </c>
      <c r="I272">
        <v>21450</v>
      </c>
      <c r="J272">
        <v>20785</v>
      </c>
      <c r="K272">
        <v>195</v>
      </c>
      <c r="L272" t="s">
        <v>57</v>
      </c>
      <c r="M272" t="s">
        <v>38</v>
      </c>
      <c r="N272" s="7">
        <f>(Post5[[#This Row],[Likes]]+Post5[[#This Row],[Shares]]+Post5[[#This Row],[Comments]])/Post5[[#This Row],[Impressions]]</f>
        <v>0.20675990675990677</v>
      </c>
      <c r="O272">
        <f>SUM(Post5[[#This Row],[Likes]],Post5[[#This Row],[Shares]],Post5[[#This Row],[Comments]])</f>
        <v>4435</v>
      </c>
    </row>
    <row r="273" spans="1:15" x14ac:dyDescent="0.25">
      <c r="A273" t="s">
        <v>314</v>
      </c>
      <c r="B273" t="s">
        <v>7</v>
      </c>
      <c r="C273" s="1">
        <v>45743</v>
      </c>
      <c r="D273" t="s">
        <v>28</v>
      </c>
      <c r="E273" t="s">
        <v>29</v>
      </c>
      <c r="F273">
        <v>4941</v>
      </c>
      <c r="G273">
        <v>414</v>
      </c>
      <c r="H273">
        <v>266</v>
      </c>
      <c r="I273">
        <v>39528</v>
      </c>
      <c r="J273">
        <v>39154</v>
      </c>
      <c r="K273">
        <v>217</v>
      </c>
      <c r="L273" t="s">
        <v>25</v>
      </c>
      <c r="M273" t="s">
        <v>31</v>
      </c>
      <c r="N273" s="7">
        <f>(Post5[[#This Row],[Likes]]+Post5[[#This Row],[Shares]]+Post5[[#This Row],[Comments]])/Post5[[#This Row],[Impressions]]</f>
        <v>0.14220299534507186</v>
      </c>
      <c r="O273">
        <f>SUM(Post5[[#This Row],[Likes]],Post5[[#This Row],[Shares]],Post5[[#This Row],[Comments]])</f>
        <v>5621</v>
      </c>
    </row>
    <row r="274" spans="1:15" x14ac:dyDescent="0.25">
      <c r="A274" t="s">
        <v>315</v>
      </c>
      <c r="B274" t="s">
        <v>10</v>
      </c>
      <c r="C274" s="1">
        <v>45577</v>
      </c>
      <c r="D274" t="s">
        <v>34</v>
      </c>
      <c r="E274" t="s">
        <v>35</v>
      </c>
      <c r="F274">
        <v>3641</v>
      </c>
      <c r="G274">
        <v>226</v>
      </c>
      <c r="H274">
        <v>46</v>
      </c>
      <c r="I274">
        <v>40051</v>
      </c>
      <c r="J274">
        <v>39319</v>
      </c>
      <c r="K274">
        <v>296</v>
      </c>
      <c r="L274" t="s">
        <v>42</v>
      </c>
      <c r="M274" t="s">
        <v>31</v>
      </c>
      <c r="N274" s="7">
        <f>(Post5[[#This Row],[Likes]]+Post5[[#This Row],[Shares]]+Post5[[#This Row],[Comments]])/Post5[[#This Row],[Impressions]]</f>
        <v>9.7700431949264685E-2</v>
      </c>
      <c r="O274">
        <f>SUM(Post5[[#This Row],[Likes]],Post5[[#This Row],[Shares]],Post5[[#This Row],[Comments]])</f>
        <v>3913</v>
      </c>
    </row>
    <row r="275" spans="1:15" x14ac:dyDescent="0.25">
      <c r="A275" t="s">
        <v>316</v>
      </c>
      <c r="B275" t="s">
        <v>9</v>
      </c>
      <c r="C275" s="1">
        <v>45658</v>
      </c>
      <c r="D275" t="s">
        <v>40</v>
      </c>
      <c r="E275" t="s">
        <v>41</v>
      </c>
      <c r="F275">
        <v>3535</v>
      </c>
      <c r="G275">
        <v>494</v>
      </c>
      <c r="H275">
        <v>152</v>
      </c>
      <c r="I275">
        <v>53025</v>
      </c>
      <c r="J275">
        <v>52791</v>
      </c>
      <c r="K275">
        <v>44</v>
      </c>
      <c r="L275" t="s">
        <v>42</v>
      </c>
      <c r="M275" t="s">
        <v>31</v>
      </c>
      <c r="N275" s="7">
        <f>(Post5[[#This Row],[Likes]]+Post5[[#This Row],[Shares]]+Post5[[#This Row],[Comments]])/Post5[[#This Row],[Impressions]]</f>
        <v>7.8849599245638849E-2</v>
      </c>
      <c r="O275">
        <f>SUM(Post5[[#This Row],[Likes]],Post5[[#This Row],[Shares]],Post5[[#This Row],[Comments]])</f>
        <v>4181</v>
      </c>
    </row>
    <row r="276" spans="1:15" x14ac:dyDescent="0.25">
      <c r="A276" t="s">
        <v>317</v>
      </c>
      <c r="B276" t="s">
        <v>8</v>
      </c>
      <c r="C276" s="1">
        <v>45509</v>
      </c>
      <c r="D276" t="s">
        <v>23</v>
      </c>
      <c r="E276" t="s">
        <v>24</v>
      </c>
      <c r="F276">
        <v>1741</v>
      </c>
      <c r="G276">
        <v>831</v>
      </c>
      <c r="H276">
        <v>345</v>
      </c>
      <c r="I276">
        <v>17410</v>
      </c>
      <c r="J276">
        <v>16844</v>
      </c>
      <c r="K276">
        <v>58</v>
      </c>
      <c r="L276" t="s">
        <v>30</v>
      </c>
      <c r="M276" t="s">
        <v>49</v>
      </c>
      <c r="N276" s="7">
        <f>(Post5[[#This Row],[Likes]]+Post5[[#This Row],[Shares]]+Post5[[#This Row],[Comments]])/Post5[[#This Row],[Impressions]]</f>
        <v>0.16754738655944859</v>
      </c>
      <c r="O276">
        <f>SUM(Post5[[#This Row],[Likes]],Post5[[#This Row],[Shares]],Post5[[#This Row],[Comments]])</f>
        <v>2917</v>
      </c>
    </row>
    <row r="277" spans="1:15" x14ac:dyDescent="0.25">
      <c r="A277" t="s">
        <v>318</v>
      </c>
      <c r="B277" t="s">
        <v>9</v>
      </c>
      <c r="C277" s="1">
        <v>45450</v>
      </c>
      <c r="D277" t="s">
        <v>40</v>
      </c>
      <c r="E277" t="s">
        <v>41</v>
      </c>
      <c r="F277">
        <v>1556</v>
      </c>
      <c r="G277">
        <v>195</v>
      </c>
      <c r="H277">
        <v>131</v>
      </c>
      <c r="I277">
        <v>9336</v>
      </c>
      <c r="J277">
        <v>8875</v>
      </c>
      <c r="K277">
        <v>137</v>
      </c>
      <c r="L277" t="s">
        <v>30</v>
      </c>
      <c r="M277" t="s">
        <v>31</v>
      </c>
      <c r="N277" s="7">
        <f>(Post5[[#This Row],[Likes]]+Post5[[#This Row],[Shares]]+Post5[[#This Row],[Comments]])/Post5[[#This Row],[Impressions]]</f>
        <v>0.2015852613538989</v>
      </c>
      <c r="O277">
        <f>SUM(Post5[[#This Row],[Likes]],Post5[[#This Row],[Shares]],Post5[[#This Row],[Comments]])</f>
        <v>1882</v>
      </c>
    </row>
    <row r="278" spans="1:15" x14ac:dyDescent="0.25">
      <c r="A278" t="s">
        <v>319</v>
      </c>
      <c r="B278" t="s">
        <v>8</v>
      </c>
      <c r="C278" s="1">
        <v>45753</v>
      </c>
      <c r="D278" t="s">
        <v>45</v>
      </c>
      <c r="E278" t="s">
        <v>46</v>
      </c>
      <c r="F278">
        <v>4236</v>
      </c>
      <c r="G278">
        <v>711</v>
      </c>
      <c r="H278">
        <v>298</v>
      </c>
      <c r="I278">
        <v>21180</v>
      </c>
      <c r="J278">
        <v>20516</v>
      </c>
      <c r="K278">
        <v>238</v>
      </c>
      <c r="L278" t="s">
        <v>42</v>
      </c>
      <c r="M278" t="s">
        <v>49</v>
      </c>
      <c r="N278" s="7">
        <f>(Post5[[#This Row],[Likes]]+Post5[[#This Row],[Shares]]+Post5[[#This Row],[Comments]])/Post5[[#This Row],[Impressions]]</f>
        <v>0.24763928234183191</v>
      </c>
      <c r="O278">
        <f>SUM(Post5[[#This Row],[Likes]],Post5[[#This Row],[Shares]],Post5[[#This Row],[Comments]])</f>
        <v>5245</v>
      </c>
    </row>
    <row r="279" spans="1:15" x14ac:dyDescent="0.25">
      <c r="A279" t="s">
        <v>320</v>
      </c>
      <c r="B279" t="s">
        <v>9</v>
      </c>
      <c r="C279" s="1">
        <v>45622</v>
      </c>
      <c r="D279" t="s">
        <v>28</v>
      </c>
      <c r="E279" t="s">
        <v>29</v>
      </c>
      <c r="F279">
        <v>4516</v>
      </c>
      <c r="G279">
        <v>836</v>
      </c>
      <c r="H279">
        <v>169</v>
      </c>
      <c r="I279">
        <v>49676</v>
      </c>
      <c r="J279">
        <v>49257</v>
      </c>
      <c r="K279">
        <v>282</v>
      </c>
      <c r="L279" t="s">
        <v>42</v>
      </c>
      <c r="M279" t="s">
        <v>26</v>
      </c>
      <c r="N279" s="7">
        <f>(Post5[[#This Row],[Likes]]+Post5[[#This Row],[Shares]]+Post5[[#This Row],[Comments]])/Post5[[#This Row],[Impressions]]</f>
        <v>0.11114018842096787</v>
      </c>
      <c r="O279">
        <f>SUM(Post5[[#This Row],[Likes]],Post5[[#This Row],[Shares]],Post5[[#This Row],[Comments]])</f>
        <v>5521</v>
      </c>
    </row>
    <row r="280" spans="1:15" x14ac:dyDescent="0.25">
      <c r="A280" t="s">
        <v>321</v>
      </c>
      <c r="B280" t="s">
        <v>10</v>
      </c>
      <c r="C280" s="1">
        <v>45537</v>
      </c>
      <c r="D280" t="s">
        <v>45</v>
      </c>
      <c r="E280" t="s">
        <v>46</v>
      </c>
      <c r="F280">
        <v>4905</v>
      </c>
      <c r="G280">
        <v>845</v>
      </c>
      <c r="H280">
        <v>129</v>
      </c>
      <c r="I280">
        <v>98100</v>
      </c>
      <c r="J280">
        <v>97772</v>
      </c>
      <c r="K280">
        <v>279</v>
      </c>
      <c r="L280" t="s">
        <v>42</v>
      </c>
      <c r="M280" t="s">
        <v>49</v>
      </c>
      <c r="N280" s="7">
        <f>(Post5[[#This Row],[Likes]]+Post5[[#This Row],[Shares]]+Post5[[#This Row],[Comments]])/Post5[[#This Row],[Impressions]]</f>
        <v>5.9928644240570844E-2</v>
      </c>
      <c r="O280">
        <f>SUM(Post5[[#This Row],[Likes]],Post5[[#This Row],[Shares]],Post5[[#This Row],[Comments]])</f>
        <v>5879</v>
      </c>
    </row>
    <row r="281" spans="1:15" x14ac:dyDescent="0.25">
      <c r="A281" t="s">
        <v>322</v>
      </c>
      <c r="B281" t="s">
        <v>10</v>
      </c>
      <c r="C281" s="1">
        <v>45586</v>
      </c>
      <c r="D281" t="s">
        <v>55</v>
      </c>
      <c r="E281" t="s">
        <v>56</v>
      </c>
      <c r="F281">
        <v>4275</v>
      </c>
      <c r="G281">
        <v>680</v>
      </c>
      <c r="H281">
        <v>385</v>
      </c>
      <c r="I281">
        <v>64125</v>
      </c>
      <c r="J281">
        <v>63650</v>
      </c>
      <c r="K281">
        <v>104</v>
      </c>
      <c r="L281" t="s">
        <v>37</v>
      </c>
      <c r="M281" t="s">
        <v>49</v>
      </c>
      <c r="N281" s="7">
        <f>(Post5[[#This Row],[Likes]]+Post5[[#This Row],[Shares]]+Post5[[#This Row],[Comments]])/Post5[[#This Row],[Impressions]]</f>
        <v>8.3274853801169585E-2</v>
      </c>
      <c r="O281">
        <f>SUM(Post5[[#This Row],[Likes]],Post5[[#This Row],[Shares]],Post5[[#This Row],[Comments]])</f>
        <v>5340</v>
      </c>
    </row>
    <row r="282" spans="1:15" x14ac:dyDescent="0.25">
      <c r="A282" t="s">
        <v>323</v>
      </c>
      <c r="B282" t="s">
        <v>10</v>
      </c>
      <c r="C282" s="1">
        <v>45738</v>
      </c>
      <c r="D282" t="s">
        <v>45</v>
      </c>
      <c r="E282" t="s">
        <v>46</v>
      </c>
      <c r="F282">
        <v>3166</v>
      </c>
      <c r="G282">
        <v>90</v>
      </c>
      <c r="H282">
        <v>341</v>
      </c>
      <c r="I282">
        <v>56988</v>
      </c>
      <c r="J282">
        <v>56125</v>
      </c>
      <c r="K282">
        <v>135</v>
      </c>
      <c r="L282" t="s">
        <v>30</v>
      </c>
      <c r="M282" t="s">
        <v>31</v>
      </c>
      <c r="N282" s="7">
        <f>(Post5[[#This Row],[Likes]]+Post5[[#This Row],[Shares]]+Post5[[#This Row],[Comments]])/Post5[[#This Row],[Impressions]]</f>
        <v>6.3118551273952411E-2</v>
      </c>
      <c r="O282">
        <f>SUM(Post5[[#This Row],[Likes]],Post5[[#This Row],[Shares]],Post5[[#This Row],[Comments]])</f>
        <v>3597</v>
      </c>
    </row>
    <row r="283" spans="1:15" x14ac:dyDescent="0.25">
      <c r="A283" t="s">
        <v>324</v>
      </c>
      <c r="B283" t="s">
        <v>7</v>
      </c>
      <c r="C283" s="1">
        <v>45568</v>
      </c>
      <c r="D283" t="s">
        <v>55</v>
      </c>
      <c r="E283" t="s">
        <v>56</v>
      </c>
      <c r="F283">
        <v>1488</v>
      </c>
      <c r="G283">
        <v>417</v>
      </c>
      <c r="H283">
        <v>168</v>
      </c>
      <c r="I283">
        <v>19344</v>
      </c>
      <c r="J283">
        <v>18395</v>
      </c>
      <c r="K283">
        <v>30</v>
      </c>
      <c r="L283" t="s">
        <v>25</v>
      </c>
      <c r="M283" t="s">
        <v>26</v>
      </c>
      <c r="N283" s="7">
        <f>(Post5[[#This Row],[Likes]]+Post5[[#This Row],[Shares]]+Post5[[#This Row],[Comments]])/Post5[[#This Row],[Impressions]]</f>
        <v>0.1071650124069479</v>
      </c>
      <c r="O283">
        <f>SUM(Post5[[#This Row],[Likes]],Post5[[#This Row],[Shares]],Post5[[#This Row],[Comments]])</f>
        <v>2073</v>
      </c>
    </row>
    <row r="284" spans="1:15" x14ac:dyDescent="0.25">
      <c r="A284" t="s">
        <v>325</v>
      </c>
      <c r="B284" t="s">
        <v>9</v>
      </c>
      <c r="C284" s="1">
        <v>45786</v>
      </c>
      <c r="D284" t="s">
        <v>23</v>
      </c>
      <c r="E284" t="s">
        <v>24</v>
      </c>
      <c r="F284">
        <v>3367</v>
      </c>
      <c r="G284">
        <v>302</v>
      </c>
      <c r="H284">
        <v>57</v>
      </c>
      <c r="I284">
        <v>63973</v>
      </c>
      <c r="J284">
        <v>63789</v>
      </c>
      <c r="K284">
        <v>157</v>
      </c>
      <c r="L284" t="s">
        <v>42</v>
      </c>
      <c r="M284" t="s">
        <v>38</v>
      </c>
      <c r="N284" s="7">
        <f>(Post5[[#This Row],[Likes]]+Post5[[#This Row],[Shares]]+Post5[[#This Row],[Comments]])/Post5[[#This Row],[Impressions]]</f>
        <v>5.8243321401216137E-2</v>
      </c>
      <c r="O284">
        <f>SUM(Post5[[#This Row],[Likes]],Post5[[#This Row],[Shares]],Post5[[#This Row],[Comments]])</f>
        <v>3726</v>
      </c>
    </row>
    <row r="285" spans="1:15" x14ac:dyDescent="0.25">
      <c r="A285" t="s">
        <v>326</v>
      </c>
      <c r="B285" t="s">
        <v>9</v>
      </c>
      <c r="C285" s="1">
        <v>45552</v>
      </c>
      <c r="D285" t="s">
        <v>28</v>
      </c>
      <c r="E285" t="s">
        <v>29</v>
      </c>
      <c r="F285">
        <v>571</v>
      </c>
      <c r="G285">
        <v>190</v>
      </c>
      <c r="H285">
        <v>352</v>
      </c>
      <c r="I285">
        <v>9707</v>
      </c>
      <c r="J285">
        <v>9418</v>
      </c>
      <c r="K285">
        <v>231</v>
      </c>
      <c r="L285" t="s">
        <v>57</v>
      </c>
      <c r="M285" t="s">
        <v>31</v>
      </c>
      <c r="N285" s="7">
        <f>(Post5[[#This Row],[Likes]]+Post5[[#This Row],[Shares]]+Post5[[#This Row],[Comments]])/Post5[[#This Row],[Impressions]]</f>
        <v>0.11465952405480581</v>
      </c>
      <c r="O285">
        <f>SUM(Post5[[#This Row],[Likes]],Post5[[#This Row],[Shares]],Post5[[#This Row],[Comments]])</f>
        <v>1113</v>
      </c>
    </row>
    <row r="286" spans="1:15" x14ac:dyDescent="0.25">
      <c r="A286" t="s">
        <v>327</v>
      </c>
      <c r="B286" t="s">
        <v>10</v>
      </c>
      <c r="C286" s="1">
        <v>45491</v>
      </c>
      <c r="D286" t="s">
        <v>28</v>
      </c>
      <c r="E286" t="s">
        <v>29</v>
      </c>
      <c r="F286">
        <v>4021</v>
      </c>
      <c r="G286">
        <v>794</v>
      </c>
      <c r="H286">
        <v>77</v>
      </c>
      <c r="I286">
        <v>36189</v>
      </c>
      <c r="J286">
        <v>35505</v>
      </c>
      <c r="K286">
        <v>174</v>
      </c>
      <c r="L286" t="s">
        <v>57</v>
      </c>
      <c r="M286" t="s">
        <v>26</v>
      </c>
      <c r="N286" s="7">
        <f>(Post5[[#This Row],[Likes]]+Post5[[#This Row],[Shares]]+Post5[[#This Row],[Comments]])/Post5[[#This Row],[Impressions]]</f>
        <v>0.13517919809886983</v>
      </c>
      <c r="O286">
        <f>SUM(Post5[[#This Row],[Likes]],Post5[[#This Row],[Shares]],Post5[[#This Row],[Comments]])</f>
        <v>4892</v>
      </c>
    </row>
    <row r="287" spans="1:15" x14ac:dyDescent="0.25">
      <c r="A287" t="s">
        <v>328</v>
      </c>
      <c r="B287" t="s">
        <v>10</v>
      </c>
      <c r="C287" s="1">
        <v>45560</v>
      </c>
      <c r="D287" t="s">
        <v>55</v>
      </c>
      <c r="E287" t="s">
        <v>56</v>
      </c>
      <c r="F287">
        <v>3389</v>
      </c>
      <c r="G287">
        <v>344</v>
      </c>
      <c r="H287">
        <v>229</v>
      </c>
      <c r="I287">
        <v>20334</v>
      </c>
      <c r="J287">
        <v>19443</v>
      </c>
      <c r="K287">
        <v>228</v>
      </c>
      <c r="L287" t="s">
        <v>30</v>
      </c>
      <c r="M287" t="s">
        <v>31</v>
      </c>
      <c r="N287" s="7">
        <f>(Post5[[#This Row],[Likes]]+Post5[[#This Row],[Shares]]+Post5[[#This Row],[Comments]])/Post5[[#This Row],[Impressions]]</f>
        <v>0.19484607062063539</v>
      </c>
      <c r="O287">
        <f>SUM(Post5[[#This Row],[Likes]],Post5[[#This Row],[Shares]],Post5[[#This Row],[Comments]])</f>
        <v>3962</v>
      </c>
    </row>
    <row r="288" spans="1:15" x14ac:dyDescent="0.25">
      <c r="A288" t="s">
        <v>329</v>
      </c>
      <c r="B288" t="s">
        <v>7</v>
      </c>
      <c r="C288" s="1">
        <v>45519</v>
      </c>
      <c r="D288" t="s">
        <v>23</v>
      </c>
      <c r="E288" t="s">
        <v>24</v>
      </c>
      <c r="F288">
        <v>1164</v>
      </c>
      <c r="G288">
        <v>616</v>
      </c>
      <c r="H288">
        <v>324</v>
      </c>
      <c r="I288">
        <v>6984</v>
      </c>
      <c r="J288">
        <v>6636</v>
      </c>
      <c r="K288">
        <v>82</v>
      </c>
      <c r="L288" t="s">
        <v>30</v>
      </c>
      <c r="M288" t="s">
        <v>38</v>
      </c>
      <c r="N288" s="7">
        <f>(Post5[[#This Row],[Likes]]+Post5[[#This Row],[Shares]]+Post5[[#This Row],[Comments]])/Post5[[#This Row],[Impressions]]</f>
        <v>0.30126002290950743</v>
      </c>
      <c r="O288">
        <f>SUM(Post5[[#This Row],[Likes]],Post5[[#This Row],[Shares]],Post5[[#This Row],[Comments]])</f>
        <v>2104</v>
      </c>
    </row>
    <row r="289" spans="1:15" x14ac:dyDescent="0.25">
      <c r="A289" t="s">
        <v>330</v>
      </c>
      <c r="B289" t="s">
        <v>10</v>
      </c>
      <c r="C289" s="1">
        <v>45764</v>
      </c>
      <c r="D289" t="s">
        <v>40</v>
      </c>
      <c r="E289" t="s">
        <v>41</v>
      </c>
      <c r="F289">
        <v>4780</v>
      </c>
      <c r="G289">
        <v>691</v>
      </c>
      <c r="H289">
        <v>380</v>
      </c>
      <c r="I289">
        <v>86040</v>
      </c>
      <c r="J289">
        <v>85743</v>
      </c>
      <c r="K289">
        <v>262</v>
      </c>
      <c r="L289" t="s">
        <v>30</v>
      </c>
      <c r="M289" t="s">
        <v>38</v>
      </c>
      <c r="N289" s="7">
        <f>(Post5[[#This Row],[Likes]]+Post5[[#This Row],[Shares]]+Post5[[#This Row],[Comments]])/Post5[[#This Row],[Impressions]]</f>
        <v>6.800325430032543E-2</v>
      </c>
      <c r="O289">
        <f>SUM(Post5[[#This Row],[Likes]],Post5[[#This Row],[Shares]],Post5[[#This Row],[Comments]])</f>
        <v>5851</v>
      </c>
    </row>
    <row r="290" spans="1:15" x14ac:dyDescent="0.25">
      <c r="A290" t="s">
        <v>331</v>
      </c>
      <c r="B290" t="s">
        <v>8</v>
      </c>
      <c r="C290" s="1">
        <v>45624</v>
      </c>
      <c r="D290" t="s">
        <v>40</v>
      </c>
      <c r="E290" t="s">
        <v>41</v>
      </c>
      <c r="F290">
        <v>2751</v>
      </c>
      <c r="G290">
        <v>33</v>
      </c>
      <c r="H290">
        <v>430</v>
      </c>
      <c r="I290">
        <v>44016</v>
      </c>
      <c r="J290">
        <v>43415</v>
      </c>
      <c r="K290">
        <v>129</v>
      </c>
      <c r="L290" t="s">
        <v>42</v>
      </c>
      <c r="M290" t="s">
        <v>31</v>
      </c>
      <c r="N290" s="7">
        <f>(Post5[[#This Row],[Likes]]+Post5[[#This Row],[Shares]]+Post5[[#This Row],[Comments]])/Post5[[#This Row],[Impressions]]</f>
        <v>7.3018902217375503E-2</v>
      </c>
      <c r="O290">
        <f>SUM(Post5[[#This Row],[Likes]],Post5[[#This Row],[Shares]],Post5[[#This Row],[Comments]])</f>
        <v>3214</v>
      </c>
    </row>
    <row r="291" spans="1:15" x14ac:dyDescent="0.25">
      <c r="A291" t="s">
        <v>332</v>
      </c>
      <c r="B291" t="s">
        <v>7</v>
      </c>
      <c r="C291" s="1">
        <v>45646</v>
      </c>
      <c r="D291" t="s">
        <v>40</v>
      </c>
      <c r="E291" t="s">
        <v>41</v>
      </c>
      <c r="F291">
        <v>2107</v>
      </c>
      <c r="G291">
        <v>550</v>
      </c>
      <c r="H291">
        <v>349</v>
      </c>
      <c r="I291">
        <v>35819</v>
      </c>
      <c r="J291">
        <v>35340</v>
      </c>
      <c r="K291">
        <v>191</v>
      </c>
      <c r="L291" t="s">
        <v>42</v>
      </c>
      <c r="M291" t="s">
        <v>38</v>
      </c>
      <c r="N291" s="7">
        <f>(Post5[[#This Row],[Likes]]+Post5[[#This Row],[Shares]]+Post5[[#This Row],[Comments]])/Post5[[#This Row],[Impressions]]</f>
        <v>8.3921940869371006E-2</v>
      </c>
      <c r="O291">
        <f>SUM(Post5[[#This Row],[Likes]],Post5[[#This Row],[Shares]],Post5[[#This Row],[Comments]])</f>
        <v>3006</v>
      </c>
    </row>
    <row r="292" spans="1:15" x14ac:dyDescent="0.25">
      <c r="A292" t="s">
        <v>333</v>
      </c>
      <c r="B292" t="s">
        <v>8</v>
      </c>
      <c r="C292" s="1">
        <v>45602</v>
      </c>
      <c r="D292" t="s">
        <v>55</v>
      </c>
      <c r="E292" t="s">
        <v>56</v>
      </c>
      <c r="F292">
        <v>4663</v>
      </c>
      <c r="G292">
        <v>145</v>
      </c>
      <c r="H292">
        <v>225</v>
      </c>
      <c r="I292">
        <v>69945</v>
      </c>
      <c r="J292">
        <v>69596</v>
      </c>
      <c r="K292">
        <v>35</v>
      </c>
      <c r="L292" t="s">
        <v>30</v>
      </c>
      <c r="M292" t="s">
        <v>31</v>
      </c>
      <c r="N292" s="7">
        <f>(Post5[[#This Row],[Likes]]+Post5[[#This Row],[Shares]]+Post5[[#This Row],[Comments]])/Post5[[#This Row],[Impressions]]</f>
        <v>7.1956537279290869E-2</v>
      </c>
      <c r="O292">
        <f>SUM(Post5[[#This Row],[Likes]],Post5[[#This Row],[Shares]],Post5[[#This Row],[Comments]])</f>
        <v>5033</v>
      </c>
    </row>
    <row r="293" spans="1:15" x14ac:dyDescent="0.25">
      <c r="A293" t="s">
        <v>334</v>
      </c>
      <c r="B293" t="s">
        <v>8</v>
      </c>
      <c r="C293" s="1">
        <v>45613</v>
      </c>
      <c r="D293" t="s">
        <v>28</v>
      </c>
      <c r="E293" t="s">
        <v>29</v>
      </c>
      <c r="F293">
        <v>880</v>
      </c>
      <c r="G293">
        <v>297</v>
      </c>
      <c r="H293">
        <v>345</v>
      </c>
      <c r="I293">
        <v>12320</v>
      </c>
      <c r="J293">
        <v>11978</v>
      </c>
      <c r="K293">
        <v>238</v>
      </c>
      <c r="L293" t="s">
        <v>25</v>
      </c>
      <c r="M293" t="s">
        <v>31</v>
      </c>
      <c r="N293" s="7">
        <f>(Post5[[#This Row],[Likes]]+Post5[[#This Row],[Shares]]+Post5[[#This Row],[Comments]])/Post5[[#This Row],[Impressions]]</f>
        <v>0.12353896103896105</v>
      </c>
      <c r="O293">
        <f>SUM(Post5[[#This Row],[Likes]],Post5[[#This Row],[Shares]],Post5[[#This Row],[Comments]])</f>
        <v>1522</v>
      </c>
    </row>
    <row r="294" spans="1:15" x14ac:dyDescent="0.25">
      <c r="A294" t="s">
        <v>335</v>
      </c>
      <c r="B294" t="s">
        <v>8</v>
      </c>
      <c r="C294" s="1">
        <v>45791</v>
      </c>
      <c r="D294" t="s">
        <v>28</v>
      </c>
      <c r="E294" t="s">
        <v>29</v>
      </c>
      <c r="F294">
        <v>2634</v>
      </c>
      <c r="G294">
        <v>726</v>
      </c>
      <c r="H294">
        <v>241</v>
      </c>
      <c r="I294">
        <v>28974</v>
      </c>
      <c r="J294">
        <v>28102</v>
      </c>
      <c r="K294">
        <v>277</v>
      </c>
      <c r="L294" t="s">
        <v>37</v>
      </c>
      <c r="M294" t="s">
        <v>38</v>
      </c>
      <c r="N294" s="7">
        <f>(Post5[[#This Row],[Likes]]+Post5[[#This Row],[Shares]]+Post5[[#This Row],[Comments]])/Post5[[#This Row],[Impressions]]</f>
        <v>0.12428384068475185</v>
      </c>
      <c r="O294">
        <f>SUM(Post5[[#This Row],[Likes]],Post5[[#This Row],[Shares]],Post5[[#This Row],[Comments]])</f>
        <v>3601</v>
      </c>
    </row>
    <row r="295" spans="1:15" x14ac:dyDescent="0.25">
      <c r="A295" t="s">
        <v>336</v>
      </c>
      <c r="B295" t="s">
        <v>8</v>
      </c>
      <c r="C295" s="1">
        <v>45462</v>
      </c>
      <c r="D295" t="s">
        <v>40</v>
      </c>
      <c r="E295" t="s">
        <v>41</v>
      </c>
      <c r="F295">
        <v>4731</v>
      </c>
      <c r="G295">
        <v>173</v>
      </c>
      <c r="H295">
        <v>276</v>
      </c>
      <c r="I295">
        <v>28386</v>
      </c>
      <c r="J295">
        <v>28185</v>
      </c>
      <c r="K295">
        <v>89</v>
      </c>
      <c r="L295" t="s">
        <v>42</v>
      </c>
      <c r="M295" t="s">
        <v>49</v>
      </c>
      <c r="N295" s="7">
        <f>(Post5[[#This Row],[Likes]]+Post5[[#This Row],[Shares]]+Post5[[#This Row],[Comments]])/Post5[[#This Row],[Impressions]]</f>
        <v>0.18248432325794406</v>
      </c>
      <c r="O295">
        <f>SUM(Post5[[#This Row],[Likes]],Post5[[#This Row],[Shares]],Post5[[#This Row],[Comments]])</f>
        <v>5180</v>
      </c>
    </row>
    <row r="296" spans="1:15" x14ac:dyDescent="0.25">
      <c r="A296" t="s">
        <v>337</v>
      </c>
      <c r="B296" t="s">
        <v>9</v>
      </c>
      <c r="C296" s="1">
        <v>45783</v>
      </c>
      <c r="D296" t="s">
        <v>45</v>
      </c>
      <c r="E296" t="s">
        <v>46</v>
      </c>
      <c r="F296">
        <v>1952</v>
      </c>
      <c r="G296">
        <v>344</v>
      </c>
      <c r="H296">
        <v>287</v>
      </c>
      <c r="I296">
        <v>15616</v>
      </c>
      <c r="J296">
        <v>15403</v>
      </c>
      <c r="K296">
        <v>235</v>
      </c>
      <c r="L296" t="s">
        <v>25</v>
      </c>
      <c r="M296" t="s">
        <v>38</v>
      </c>
      <c r="N296" s="7">
        <f>(Post5[[#This Row],[Likes]]+Post5[[#This Row],[Shares]]+Post5[[#This Row],[Comments]])/Post5[[#This Row],[Impressions]]</f>
        <v>0.16540727459016394</v>
      </c>
      <c r="O296">
        <f>SUM(Post5[[#This Row],[Likes]],Post5[[#This Row],[Shares]],Post5[[#This Row],[Comments]])</f>
        <v>2583</v>
      </c>
    </row>
    <row r="297" spans="1:15" x14ac:dyDescent="0.25">
      <c r="A297" t="s">
        <v>338</v>
      </c>
      <c r="B297" t="s">
        <v>9</v>
      </c>
      <c r="C297" s="1">
        <v>45699</v>
      </c>
      <c r="D297" t="s">
        <v>55</v>
      </c>
      <c r="E297" t="s">
        <v>56</v>
      </c>
      <c r="F297">
        <v>3440</v>
      </c>
      <c r="G297">
        <v>13</v>
      </c>
      <c r="H297">
        <v>20</v>
      </c>
      <c r="I297">
        <v>58480</v>
      </c>
      <c r="J297">
        <v>58146</v>
      </c>
      <c r="K297">
        <v>210</v>
      </c>
      <c r="L297" t="s">
        <v>30</v>
      </c>
      <c r="M297" t="s">
        <v>26</v>
      </c>
      <c r="N297" s="7">
        <f>(Post5[[#This Row],[Likes]]+Post5[[#This Row],[Shares]]+Post5[[#This Row],[Comments]])/Post5[[#This Row],[Impressions]]</f>
        <v>5.9387824897400819E-2</v>
      </c>
      <c r="O297">
        <f>SUM(Post5[[#This Row],[Likes]],Post5[[#This Row],[Shares]],Post5[[#This Row],[Comments]])</f>
        <v>3473</v>
      </c>
    </row>
    <row r="298" spans="1:15" x14ac:dyDescent="0.25">
      <c r="A298" t="s">
        <v>339</v>
      </c>
      <c r="B298" t="s">
        <v>9</v>
      </c>
      <c r="C298" s="1">
        <v>45650</v>
      </c>
      <c r="D298" t="s">
        <v>28</v>
      </c>
      <c r="E298" t="s">
        <v>29</v>
      </c>
      <c r="F298">
        <v>2166</v>
      </c>
      <c r="G298">
        <v>354</v>
      </c>
      <c r="H298">
        <v>117</v>
      </c>
      <c r="I298">
        <v>10830</v>
      </c>
      <c r="J298">
        <v>10245</v>
      </c>
      <c r="K298">
        <v>24</v>
      </c>
      <c r="L298" t="s">
        <v>37</v>
      </c>
      <c r="M298" t="s">
        <v>26</v>
      </c>
      <c r="N298" s="7">
        <f>(Post5[[#This Row],[Likes]]+Post5[[#This Row],[Shares]]+Post5[[#This Row],[Comments]])/Post5[[#This Row],[Impressions]]</f>
        <v>0.24349030470914126</v>
      </c>
      <c r="O298">
        <f>SUM(Post5[[#This Row],[Likes]],Post5[[#This Row],[Shares]],Post5[[#This Row],[Comments]])</f>
        <v>2637</v>
      </c>
    </row>
    <row r="299" spans="1:15" x14ac:dyDescent="0.25">
      <c r="A299" t="s">
        <v>340</v>
      </c>
      <c r="B299" t="s">
        <v>8</v>
      </c>
      <c r="C299" s="1">
        <v>45589</v>
      </c>
      <c r="D299" t="s">
        <v>45</v>
      </c>
      <c r="E299" t="s">
        <v>46</v>
      </c>
      <c r="F299">
        <v>4303</v>
      </c>
      <c r="G299">
        <v>451</v>
      </c>
      <c r="H299">
        <v>286</v>
      </c>
      <c r="I299">
        <v>86060</v>
      </c>
      <c r="J299">
        <v>85823</v>
      </c>
      <c r="K299">
        <v>14</v>
      </c>
      <c r="L299" t="s">
        <v>25</v>
      </c>
      <c r="M299" t="s">
        <v>31</v>
      </c>
      <c r="N299" s="7">
        <f>(Post5[[#This Row],[Likes]]+Post5[[#This Row],[Shares]]+Post5[[#This Row],[Comments]])/Post5[[#This Row],[Impressions]]</f>
        <v>5.8563792702765516E-2</v>
      </c>
      <c r="O299">
        <f>SUM(Post5[[#This Row],[Likes]],Post5[[#This Row],[Shares]],Post5[[#This Row],[Comments]])</f>
        <v>5040</v>
      </c>
    </row>
    <row r="300" spans="1:15" x14ac:dyDescent="0.25">
      <c r="A300" t="s">
        <v>341</v>
      </c>
      <c r="B300" t="s">
        <v>8</v>
      </c>
      <c r="C300" s="1">
        <v>45530</v>
      </c>
      <c r="D300" t="s">
        <v>45</v>
      </c>
      <c r="E300" t="s">
        <v>46</v>
      </c>
      <c r="F300">
        <v>2581</v>
      </c>
      <c r="G300">
        <v>517</v>
      </c>
      <c r="H300">
        <v>117</v>
      </c>
      <c r="I300">
        <v>23229</v>
      </c>
      <c r="J300">
        <v>22331</v>
      </c>
      <c r="K300">
        <v>70</v>
      </c>
      <c r="L300" t="s">
        <v>25</v>
      </c>
      <c r="M300" t="s">
        <v>31</v>
      </c>
      <c r="N300" s="7">
        <f>(Post5[[#This Row],[Likes]]+Post5[[#This Row],[Shares]]+Post5[[#This Row],[Comments]])/Post5[[#This Row],[Impressions]]</f>
        <v>0.13840458048129492</v>
      </c>
      <c r="O300">
        <f>SUM(Post5[[#This Row],[Likes]],Post5[[#This Row],[Shares]],Post5[[#This Row],[Comments]])</f>
        <v>3215</v>
      </c>
    </row>
    <row r="301" spans="1:15" x14ac:dyDescent="0.25">
      <c r="A301" t="s">
        <v>342</v>
      </c>
      <c r="B301" t="s">
        <v>9</v>
      </c>
      <c r="C301" s="1">
        <v>45535</v>
      </c>
      <c r="D301" t="s">
        <v>40</v>
      </c>
      <c r="E301" t="s">
        <v>41</v>
      </c>
      <c r="F301">
        <v>4494</v>
      </c>
      <c r="G301">
        <v>717</v>
      </c>
      <c r="H301">
        <v>45</v>
      </c>
      <c r="I301">
        <v>62916</v>
      </c>
      <c r="J301">
        <v>62688</v>
      </c>
      <c r="K301">
        <v>191</v>
      </c>
      <c r="L301" t="s">
        <v>30</v>
      </c>
      <c r="M301" t="s">
        <v>26</v>
      </c>
      <c r="N301" s="7">
        <f>(Post5[[#This Row],[Likes]]+Post5[[#This Row],[Shares]]+Post5[[#This Row],[Comments]])/Post5[[#This Row],[Impressions]]</f>
        <v>8.3539958039290485E-2</v>
      </c>
      <c r="O301">
        <f>SUM(Post5[[#This Row],[Likes]],Post5[[#This Row],[Shares]],Post5[[#This Row],[Comments]])</f>
        <v>5256</v>
      </c>
    </row>
  </sheetData>
  <mergeCells count="1">
    <mergeCell ref="R6:V8"/>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78C8B-D5DA-4520-ADD7-31D64E7C26D0}">
  <dimension ref="A1:S201"/>
  <sheetViews>
    <sheetView topLeftCell="A103" workbookViewId="0">
      <selection activeCell="L14" sqref="L14"/>
    </sheetView>
  </sheetViews>
  <sheetFormatPr defaultRowHeight="15" x14ac:dyDescent="0.25"/>
  <cols>
    <col min="1" max="1" width="18.85546875" bestFit="1" customWidth="1"/>
    <col min="2" max="2" width="11" bestFit="1" customWidth="1"/>
    <col min="3" max="3" width="17" bestFit="1" customWidth="1"/>
    <col min="4" max="4" width="12.28515625" bestFit="1" customWidth="1"/>
    <col min="5" max="5" width="17.42578125" bestFit="1" customWidth="1"/>
    <col min="6" max="6" width="19.7109375" bestFit="1" customWidth="1"/>
    <col min="7" max="7" width="12.140625" bestFit="1" customWidth="1"/>
    <col min="8" max="8" width="18.28515625" bestFit="1" customWidth="1"/>
  </cols>
  <sheetData>
    <row r="1" spans="1:19" x14ac:dyDescent="0.25">
      <c r="A1" s="15" t="s">
        <v>0</v>
      </c>
      <c r="B1" s="16" t="s">
        <v>1</v>
      </c>
      <c r="C1" s="16" t="s">
        <v>2</v>
      </c>
      <c r="D1" s="16" t="s">
        <v>3</v>
      </c>
      <c r="E1" s="16" t="s">
        <v>4</v>
      </c>
      <c r="F1" s="16" t="s">
        <v>5</v>
      </c>
      <c r="G1" s="16" t="s">
        <v>6</v>
      </c>
      <c r="H1" s="17" t="s">
        <v>380</v>
      </c>
    </row>
    <row r="2" spans="1:19" x14ac:dyDescent="0.25">
      <c r="A2" s="27">
        <v>45446</v>
      </c>
      <c r="B2" s="19" t="s">
        <v>7</v>
      </c>
      <c r="C2" s="19">
        <v>1135</v>
      </c>
      <c r="D2" s="19">
        <v>88</v>
      </c>
      <c r="E2" s="19">
        <v>344084</v>
      </c>
      <c r="F2" s="19">
        <v>8.06</v>
      </c>
      <c r="G2" s="19">
        <v>5904</v>
      </c>
      <c r="H2" s="20" t="str">
        <f>IF(AND(A2&gt;='Campaign Data'!$B$2,'Engagment Summary'!A2&lt;='Campaign Data'!$C$2),"EndofSeasonSale",IF(AND(A2&gt;='Campaign Data'!$B$3,A2&lt;='Campaign Data'!$C$3),"FashionUpgrade",IF(AND(A2&gt;='Campaign Data'!$B$4,A2&lt;='Campaign Data'!$C$4),"MyntraFestiveEdit",IF(AND(A2&gt;='Campaign Data'!$B$5,A2&lt;='Campaign Data'!$C$5),"StyleRevolution","No Campaign"))))</f>
        <v>No Campaign</v>
      </c>
    </row>
    <row r="3" spans="1:19" x14ac:dyDescent="0.25">
      <c r="A3" s="28">
        <v>45446</v>
      </c>
      <c r="B3" s="22" t="s">
        <v>8</v>
      </c>
      <c r="C3" s="22">
        <v>1312</v>
      </c>
      <c r="D3" s="22">
        <v>310</v>
      </c>
      <c r="E3" s="22">
        <v>42654</v>
      </c>
      <c r="F3" s="22">
        <v>4.9800000000000004</v>
      </c>
      <c r="G3" s="22">
        <v>9566</v>
      </c>
      <c r="H3" s="20" t="str">
        <f>IF(AND(A3&gt;='Campaign Data'!$B$2,'Engagment Summary'!A3&lt;='Campaign Data'!$C$2),"EndofSeasonSale",IF(AND(A3&gt;='Campaign Data'!$B$3,A3&lt;='Campaign Data'!$C$3),"FashionUpgrade",IF(AND(A3&gt;='Campaign Data'!$B$4,A3&lt;='Campaign Data'!$C$4),"MyntraFestiveEdit",IF(AND(A3&gt;='Campaign Data'!$B$5,A3&lt;='Campaign Data'!$C$5),"StyleRevolution","No Campaign"))))</f>
        <v>No Campaign</v>
      </c>
    </row>
    <row r="4" spans="1:19" x14ac:dyDescent="0.25">
      <c r="A4" s="27">
        <v>45446</v>
      </c>
      <c r="B4" s="19" t="s">
        <v>9</v>
      </c>
      <c r="C4" s="19">
        <v>584</v>
      </c>
      <c r="D4" s="19">
        <v>169</v>
      </c>
      <c r="E4" s="19">
        <v>146834</v>
      </c>
      <c r="F4" s="19">
        <v>8.31</v>
      </c>
      <c r="G4" s="19">
        <v>26752</v>
      </c>
      <c r="H4" s="20" t="str">
        <f>IF(AND(A4&gt;='Campaign Data'!$B$2,'Engagment Summary'!A4&lt;='Campaign Data'!$C$2),"EndofSeasonSale",IF(AND(A4&gt;='Campaign Data'!$B$3,A4&lt;='Campaign Data'!$C$3),"FashionUpgrade",IF(AND(A4&gt;='Campaign Data'!$B$4,A4&lt;='Campaign Data'!$C$4),"MyntraFestiveEdit",IF(AND(A4&gt;='Campaign Data'!$B$5,A4&lt;='Campaign Data'!$C$5),"StyleRevolution","No Campaign"))))</f>
        <v>No Campaign</v>
      </c>
    </row>
    <row r="5" spans="1:19" ht="15" customHeight="1" x14ac:dyDescent="0.25">
      <c r="A5" s="28">
        <v>45446</v>
      </c>
      <c r="B5" s="22" t="s">
        <v>10</v>
      </c>
      <c r="C5" s="22">
        <v>1535</v>
      </c>
      <c r="D5" s="22">
        <v>445</v>
      </c>
      <c r="E5" s="22">
        <v>395536</v>
      </c>
      <c r="F5" s="22">
        <v>4.1100000000000003</v>
      </c>
      <c r="G5" s="22">
        <v>30671</v>
      </c>
      <c r="H5" s="20" t="str">
        <f>IF(AND(A5&gt;='Campaign Data'!$B$2,'Engagment Summary'!A5&lt;='Campaign Data'!$C$2),"EndofSeasonSale",IF(AND(A5&gt;='Campaign Data'!$B$3,A5&lt;='Campaign Data'!$C$3),"FashionUpgrade",IF(AND(A5&gt;='Campaign Data'!$B$4,A5&lt;='Campaign Data'!$C$4),"MyntraFestiveEdit",IF(AND(A5&gt;='Campaign Data'!$B$5,A5&lt;='Campaign Data'!$C$5),"StyleRevolution","No Campaign"))))</f>
        <v>No Campaign</v>
      </c>
      <c r="J5" s="32" t="s">
        <v>381</v>
      </c>
      <c r="K5" s="32"/>
      <c r="L5" s="32"/>
      <c r="M5" s="32"/>
      <c r="N5" s="32"/>
      <c r="O5" s="32"/>
      <c r="P5" s="32"/>
      <c r="Q5" s="32"/>
      <c r="R5" s="32"/>
      <c r="S5" s="32"/>
    </row>
    <row r="6" spans="1:19" x14ac:dyDescent="0.25">
      <c r="A6" s="27">
        <v>45453</v>
      </c>
      <c r="B6" s="19" t="s">
        <v>7</v>
      </c>
      <c r="C6" s="19">
        <v>656</v>
      </c>
      <c r="D6" s="19">
        <v>139</v>
      </c>
      <c r="E6" s="19">
        <v>49157</v>
      </c>
      <c r="F6" s="19">
        <v>9.0500000000000007</v>
      </c>
      <c r="G6" s="19">
        <v>9920</v>
      </c>
      <c r="H6" s="20" t="str">
        <f>IF(AND(A6&gt;='Campaign Data'!$B$2,'Engagment Summary'!A6&lt;='Campaign Data'!$C$2),"EndofSeasonSale",IF(AND(A6&gt;='Campaign Data'!$B$3,A6&lt;='Campaign Data'!$C$3),"FashionUpgrade",IF(AND(A6&gt;='Campaign Data'!$B$4,A6&lt;='Campaign Data'!$C$4),"MyntraFestiveEdit",IF(AND(A6&gt;='Campaign Data'!$B$5,A6&lt;='Campaign Data'!$C$5),"StyleRevolution","No Campaign"))))</f>
        <v>EndofSeasonSale</v>
      </c>
      <c r="J6" s="32"/>
      <c r="K6" s="32"/>
      <c r="L6" s="32"/>
      <c r="M6" s="32"/>
      <c r="N6" s="32"/>
      <c r="O6" s="32"/>
      <c r="P6" s="32"/>
      <c r="Q6" s="32"/>
      <c r="R6" s="32"/>
      <c r="S6" s="32"/>
    </row>
    <row r="7" spans="1:19" x14ac:dyDescent="0.25">
      <c r="A7" s="28">
        <v>45453</v>
      </c>
      <c r="B7" s="22" t="s">
        <v>8</v>
      </c>
      <c r="C7" s="22">
        <v>1697</v>
      </c>
      <c r="D7" s="22">
        <v>414</v>
      </c>
      <c r="E7" s="22">
        <v>316555</v>
      </c>
      <c r="F7" s="22">
        <v>2.37</v>
      </c>
      <c r="G7" s="22">
        <v>7924</v>
      </c>
      <c r="H7" s="20" t="str">
        <f>IF(AND(A7&gt;='Campaign Data'!$B$2,'Engagment Summary'!A7&lt;='Campaign Data'!$C$2),"EndofSeasonSale",IF(AND(A7&gt;='Campaign Data'!$B$3,A7&lt;='Campaign Data'!$C$3),"FashionUpgrade",IF(AND(A7&gt;='Campaign Data'!$B$4,A7&lt;='Campaign Data'!$C$4),"MyntraFestiveEdit",IF(AND(A7&gt;='Campaign Data'!$B$5,A7&lt;='Campaign Data'!$C$5),"StyleRevolution","No Campaign"))))</f>
        <v>EndofSeasonSale</v>
      </c>
      <c r="J7" s="32"/>
      <c r="K7" s="32"/>
      <c r="L7" s="32"/>
      <c r="M7" s="32"/>
      <c r="N7" s="32"/>
      <c r="O7" s="32"/>
      <c r="P7" s="32"/>
      <c r="Q7" s="32"/>
      <c r="R7" s="32"/>
      <c r="S7" s="32"/>
    </row>
    <row r="8" spans="1:19" x14ac:dyDescent="0.25">
      <c r="A8" s="27">
        <v>45453</v>
      </c>
      <c r="B8" s="19" t="s">
        <v>9</v>
      </c>
      <c r="C8" s="19">
        <v>436</v>
      </c>
      <c r="D8" s="19">
        <v>250</v>
      </c>
      <c r="E8" s="19">
        <v>254347</v>
      </c>
      <c r="F8" s="19">
        <v>4.01</v>
      </c>
      <c r="G8" s="19">
        <v>8912</v>
      </c>
      <c r="H8" s="20" t="str">
        <f>IF(AND(A8&gt;='Campaign Data'!$B$2,'Engagment Summary'!A8&lt;='Campaign Data'!$C$2),"EndofSeasonSale",IF(AND(A8&gt;='Campaign Data'!$B$3,A8&lt;='Campaign Data'!$C$3),"FashionUpgrade",IF(AND(A8&gt;='Campaign Data'!$B$4,A8&lt;='Campaign Data'!$C$4),"MyntraFestiveEdit",IF(AND(A8&gt;='Campaign Data'!$B$5,A8&lt;='Campaign Data'!$C$5),"StyleRevolution","No Campaign"))))</f>
        <v>EndofSeasonSale</v>
      </c>
      <c r="J8" s="32"/>
      <c r="K8" s="32"/>
      <c r="L8" s="32"/>
      <c r="M8" s="32"/>
      <c r="N8" s="32"/>
      <c r="O8" s="32"/>
      <c r="P8" s="32"/>
      <c r="Q8" s="32"/>
      <c r="R8" s="32"/>
      <c r="S8" s="32"/>
    </row>
    <row r="9" spans="1:19" x14ac:dyDescent="0.25">
      <c r="A9" s="28">
        <v>45453</v>
      </c>
      <c r="B9" s="22" t="s">
        <v>10</v>
      </c>
      <c r="C9" s="22">
        <v>1197</v>
      </c>
      <c r="D9" s="22">
        <v>203</v>
      </c>
      <c r="E9" s="22">
        <v>413878</v>
      </c>
      <c r="F9" s="22">
        <v>3.16</v>
      </c>
      <c r="G9" s="22">
        <v>21205</v>
      </c>
      <c r="H9" s="20" t="str">
        <f>IF(AND(A9&gt;='Campaign Data'!$B$2,'Engagment Summary'!A9&lt;='Campaign Data'!$C$2),"EndofSeasonSale",IF(AND(A9&gt;='Campaign Data'!$B$3,A9&lt;='Campaign Data'!$C$3),"FashionUpgrade",IF(AND(A9&gt;='Campaign Data'!$B$4,A9&lt;='Campaign Data'!$C$4),"MyntraFestiveEdit",IF(AND(A9&gt;='Campaign Data'!$B$5,A9&lt;='Campaign Data'!$C$5),"StyleRevolution","No Campaign"))))</f>
        <v>EndofSeasonSale</v>
      </c>
      <c r="J9" s="32"/>
      <c r="K9" s="32"/>
      <c r="L9" s="32"/>
      <c r="M9" s="32"/>
      <c r="N9" s="32"/>
      <c r="O9" s="32"/>
      <c r="P9" s="32"/>
      <c r="Q9" s="32"/>
      <c r="R9" s="32"/>
      <c r="S9" s="32"/>
    </row>
    <row r="10" spans="1:19" x14ac:dyDescent="0.25">
      <c r="A10" s="27">
        <v>45460</v>
      </c>
      <c r="B10" s="19" t="s">
        <v>7</v>
      </c>
      <c r="C10" s="19">
        <v>1048</v>
      </c>
      <c r="D10" s="19">
        <v>155</v>
      </c>
      <c r="E10" s="19">
        <v>456946</v>
      </c>
      <c r="F10" s="19">
        <v>2.46</v>
      </c>
      <c r="G10" s="19">
        <v>11329</v>
      </c>
      <c r="H10" s="20" t="str">
        <f>IF(AND(A10&gt;='Campaign Data'!$B$2,'Engagment Summary'!A10&lt;='Campaign Data'!$C$2),"EndofSeasonSale",IF(AND(A10&gt;='Campaign Data'!$B$3,A10&lt;='Campaign Data'!$C$3),"FashionUpgrade",IF(AND(A10&gt;='Campaign Data'!$B$4,A10&lt;='Campaign Data'!$C$4),"MyntraFestiveEdit",IF(AND(A10&gt;='Campaign Data'!$B$5,A10&lt;='Campaign Data'!$C$5),"StyleRevolution","No Campaign"))))</f>
        <v>EndofSeasonSale</v>
      </c>
      <c r="J10" s="32"/>
      <c r="K10" s="32"/>
      <c r="L10" s="32"/>
      <c r="M10" s="32"/>
      <c r="N10" s="32"/>
      <c r="O10" s="32"/>
      <c r="P10" s="32"/>
      <c r="Q10" s="32"/>
      <c r="R10" s="32"/>
      <c r="S10" s="32"/>
    </row>
    <row r="11" spans="1:19" x14ac:dyDescent="0.25">
      <c r="A11" s="28">
        <v>45460</v>
      </c>
      <c r="B11" s="22" t="s">
        <v>8</v>
      </c>
      <c r="C11" s="22">
        <v>1753</v>
      </c>
      <c r="D11" s="22">
        <v>371</v>
      </c>
      <c r="E11" s="22">
        <v>169496</v>
      </c>
      <c r="F11" s="22">
        <v>8.11</v>
      </c>
      <c r="G11" s="22">
        <v>46670</v>
      </c>
      <c r="H11" s="20" t="str">
        <f>IF(AND(A11&gt;='Campaign Data'!$B$2,'Engagment Summary'!A11&lt;='Campaign Data'!$C$2),"EndofSeasonSale",IF(AND(A11&gt;='Campaign Data'!$B$3,A11&lt;='Campaign Data'!$C$3),"FashionUpgrade",IF(AND(A11&gt;='Campaign Data'!$B$4,A11&lt;='Campaign Data'!$C$4),"MyntraFestiveEdit",IF(AND(A11&gt;='Campaign Data'!$B$5,A11&lt;='Campaign Data'!$C$5),"StyleRevolution","No Campaign"))))</f>
        <v>EndofSeasonSale</v>
      </c>
    </row>
    <row r="12" spans="1:19" x14ac:dyDescent="0.25">
      <c r="A12" s="27">
        <v>45460</v>
      </c>
      <c r="B12" s="19" t="s">
        <v>9</v>
      </c>
      <c r="C12" s="19">
        <v>1335</v>
      </c>
      <c r="D12" s="19">
        <v>40</v>
      </c>
      <c r="E12" s="19">
        <v>122732</v>
      </c>
      <c r="F12" s="19">
        <v>8.19</v>
      </c>
      <c r="G12" s="19">
        <v>22482</v>
      </c>
      <c r="H12" s="20" t="str">
        <f>IF(AND(A12&gt;='Campaign Data'!$B$2,'Engagment Summary'!A12&lt;='Campaign Data'!$C$2),"EndofSeasonSale",IF(AND(A12&gt;='Campaign Data'!$B$3,A12&lt;='Campaign Data'!$C$3),"FashionUpgrade",IF(AND(A12&gt;='Campaign Data'!$B$4,A12&lt;='Campaign Data'!$C$4),"MyntraFestiveEdit",IF(AND(A12&gt;='Campaign Data'!$B$5,A12&lt;='Campaign Data'!$C$5),"StyleRevolution","No Campaign"))))</f>
        <v>EndofSeasonSale</v>
      </c>
    </row>
    <row r="13" spans="1:19" x14ac:dyDescent="0.25">
      <c r="A13" s="28">
        <v>45460</v>
      </c>
      <c r="B13" s="22" t="s">
        <v>10</v>
      </c>
      <c r="C13" s="22">
        <v>403</v>
      </c>
      <c r="D13" s="22">
        <v>66</v>
      </c>
      <c r="E13" s="22">
        <v>382851</v>
      </c>
      <c r="F13" s="22">
        <v>3.49</v>
      </c>
      <c r="G13" s="22">
        <v>24313</v>
      </c>
      <c r="H13" s="20" t="str">
        <f>IF(AND(A13&gt;='Campaign Data'!$B$2,'Engagment Summary'!A13&lt;='Campaign Data'!$C$2),"EndofSeasonSale",IF(AND(A13&gt;='Campaign Data'!$B$3,A13&lt;='Campaign Data'!$C$3),"FashionUpgrade",IF(AND(A13&gt;='Campaign Data'!$B$4,A13&lt;='Campaign Data'!$C$4),"MyntraFestiveEdit",IF(AND(A13&gt;='Campaign Data'!$B$5,A13&lt;='Campaign Data'!$C$5),"StyleRevolution","No Campaign"))))</f>
        <v>EndofSeasonSale</v>
      </c>
    </row>
    <row r="14" spans="1:19" x14ac:dyDescent="0.25">
      <c r="A14" s="27">
        <v>45467</v>
      </c>
      <c r="B14" s="19" t="s">
        <v>7</v>
      </c>
      <c r="C14" s="19">
        <v>911</v>
      </c>
      <c r="D14" s="19">
        <v>282</v>
      </c>
      <c r="E14" s="19">
        <v>35664</v>
      </c>
      <c r="F14" s="19">
        <v>6.92</v>
      </c>
      <c r="G14" s="19">
        <v>18050</v>
      </c>
      <c r="H14" s="20" t="str">
        <f>IF(AND(A14&gt;='Campaign Data'!$B$2,'Engagment Summary'!A14&lt;='Campaign Data'!$C$2),"EndofSeasonSale",IF(AND(A14&gt;='Campaign Data'!$B$3,A14&lt;='Campaign Data'!$C$3),"FashionUpgrade",IF(AND(A14&gt;='Campaign Data'!$B$4,A14&lt;='Campaign Data'!$C$4),"MyntraFestiveEdit",IF(AND(A14&gt;='Campaign Data'!$B$5,A14&lt;='Campaign Data'!$C$5),"StyleRevolution","No Campaign"))))</f>
        <v>EndofSeasonSale</v>
      </c>
    </row>
    <row r="15" spans="1:19" x14ac:dyDescent="0.25">
      <c r="A15" s="28">
        <v>45467</v>
      </c>
      <c r="B15" s="22" t="s">
        <v>8</v>
      </c>
      <c r="C15" s="22">
        <v>1779</v>
      </c>
      <c r="D15" s="22">
        <v>109</v>
      </c>
      <c r="E15" s="22">
        <v>26295</v>
      </c>
      <c r="F15" s="22">
        <v>9.1199999999999992</v>
      </c>
      <c r="G15" s="22">
        <v>30635</v>
      </c>
      <c r="H15" s="20" t="str">
        <f>IF(AND(A15&gt;='Campaign Data'!$B$2,'Engagment Summary'!A15&lt;='Campaign Data'!$C$2),"EndofSeasonSale",IF(AND(A15&gt;='Campaign Data'!$B$3,A15&lt;='Campaign Data'!$C$3),"FashionUpgrade",IF(AND(A15&gt;='Campaign Data'!$B$4,A15&lt;='Campaign Data'!$C$4),"MyntraFestiveEdit",IF(AND(A15&gt;='Campaign Data'!$B$5,A15&lt;='Campaign Data'!$C$5),"StyleRevolution","No Campaign"))))</f>
        <v>EndofSeasonSale</v>
      </c>
    </row>
    <row r="16" spans="1:19" x14ac:dyDescent="0.25">
      <c r="A16" s="27">
        <v>45467</v>
      </c>
      <c r="B16" s="19" t="s">
        <v>9</v>
      </c>
      <c r="C16" s="19">
        <v>1238</v>
      </c>
      <c r="D16" s="19">
        <v>403</v>
      </c>
      <c r="E16" s="19">
        <v>298421</v>
      </c>
      <c r="F16" s="19">
        <v>3.5</v>
      </c>
      <c r="G16" s="19">
        <v>31280</v>
      </c>
      <c r="H16" s="20" t="str">
        <f>IF(AND(A16&gt;='Campaign Data'!$B$2,'Engagment Summary'!A16&lt;='Campaign Data'!$C$2),"EndofSeasonSale",IF(AND(A16&gt;='Campaign Data'!$B$3,A16&lt;='Campaign Data'!$C$3),"FashionUpgrade",IF(AND(A16&gt;='Campaign Data'!$B$4,A16&lt;='Campaign Data'!$C$4),"MyntraFestiveEdit",IF(AND(A16&gt;='Campaign Data'!$B$5,A16&lt;='Campaign Data'!$C$5),"StyleRevolution","No Campaign"))))</f>
        <v>EndofSeasonSale</v>
      </c>
    </row>
    <row r="17" spans="1:8" x14ac:dyDescent="0.25">
      <c r="A17" s="28">
        <v>45467</v>
      </c>
      <c r="B17" s="22" t="s">
        <v>10</v>
      </c>
      <c r="C17" s="22">
        <v>308</v>
      </c>
      <c r="D17" s="22">
        <v>431</v>
      </c>
      <c r="E17" s="22">
        <v>426184</v>
      </c>
      <c r="F17" s="22">
        <v>2.62</v>
      </c>
      <c r="G17" s="22">
        <v>1783</v>
      </c>
      <c r="H17" s="20" t="str">
        <f>IF(AND(A17&gt;='Campaign Data'!$B$2,'Engagment Summary'!A17&lt;='Campaign Data'!$C$2),"EndofSeasonSale",IF(AND(A17&gt;='Campaign Data'!$B$3,A17&lt;='Campaign Data'!$C$3),"FashionUpgrade",IF(AND(A17&gt;='Campaign Data'!$B$4,A17&lt;='Campaign Data'!$C$4),"MyntraFestiveEdit",IF(AND(A17&gt;='Campaign Data'!$B$5,A17&lt;='Campaign Data'!$C$5),"StyleRevolution","No Campaign"))))</f>
        <v>EndofSeasonSale</v>
      </c>
    </row>
    <row r="18" spans="1:8" x14ac:dyDescent="0.25">
      <c r="A18" s="27">
        <v>45474</v>
      </c>
      <c r="B18" s="19" t="s">
        <v>7</v>
      </c>
      <c r="C18" s="19">
        <v>226</v>
      </c>
      <c r="D18" s="19">
        <v>445</v>
      </c>
      <c r="E18" s="19">
        <v>419447</v>
      </c>
      <c r="F18" s="19">
        <v>9.36</v>
      </c>
      <c r="G18" s="19">
        <v>9566</v>
      </c>
      <c r="H18" s="20" t="str">
        <f>IF(AND(A18&gt;='Campaign Data'!$B$2,'Engagment Summary'!A18&lt;='Campaign Data'!$C$2),"EndofSeasonSale",IF(AND(A18&gt;='Campaign Data'!$B$3,A18&lt;='Campaign Data'!$C$3),"FashionUpgrade",IF(AND(A18&gt;='Campaign Data'!$B$4,A18&lt;='Campaign Data'!$C$4),"MyntraFestiveEdit",IF(AND(A18&gt;='Campaign Data'!$B$5,A18&lt;='Campaign Data'!$C$5),"StyleRevolution","No Campaign"))))</f>
        <v>EndofSeasonSale</v>
      </c>
    </row>
    <row r="19" spans="1:8" x14ac:dyDescent="0.25">
      <c r="A19" s="28">
        <v>45474</v>
      </c>
      <c r="B19" s="22" t="s">
        <v>8</v>
      </c>
      <c r="C19" s="22">
        <v>505</v>
      </c>
      <c r="D19" s="22">
        <v>441</v>
      </c>
      <c r="E19" s="22">
        <v>220020</v>
      </c>
      <c r="F19" s="22">
        <v>4.4800000000000004</v>
      </c>
      <c r="G19" s="22">
        <v>42307</v>
      </c>
      <c r="H19" s="20" t="str">
        <f>IF(AND(A19&gt;='Campaign Data'!$B$2,'Engagment Summary'!A19&lt;='Campaign Data'!$C$2),"EndofSeasonSale",IF(AND(A19&gt;='Campaign Data'!$B$3,A19&lt;='Campaign Data'!$C$3),"FashionUpgrade",IF(AND(A19&gt;='Campaign Data'!$B$4,A19&lt;='Campaign Data'!$C$4),"MyntraFestiveEdit",IF(AND(A19&gt;='Campaign Data'!$B$5,A19&lt;='Campaign Data'!$C$5),"StyleRevolution","No Campaign"))))</f>
        <v>EndofSeasonSale</v>
      </c>
    </row>
    <row r="20" spans="1:8" x14ac:dyDescent="0.25">
      <c r="A20" s="27">
        <v>45474</v>
      </c>
      <c r="B20" s="19" t="s">
        <v>9</v>
      </c>
      <c r="C20" s="19">
        <v>1420</v>
      </c>
      <c r="D20" s="19">
        <v>63</v>
      </c>
      <c r="E20" s="19">
        <v>315305</v>
      </c>
      <c r="F20" s="19">
        <v>6.19</v>
      </c>
      <c r="G20" s="19">
        <v>5914</v>
      </c>
      <c r="H20" s="20" t="str">
        <f>IF(AND(A20&gt;='Campaign Data'!$B$2,'Engagment Summary'!A20&lt;='Campaign Data'!$C$2),"EndofSeasonSale",IF(AND(A20&gt;='Campaign Data'!$B$3,A20&lt;='Campaign Data'!$C$3),"FashionUpgrade",IF(AND(A20&gt;='Campaign Data'!$B$4,A20&lt;='Campaign Data'!$C$4),"MyntraFestiveEdit",IF(AND(A20&gt;='Campaign Data'!$B$5,A20&lt;='Campaign Data'!$C$5),"StyleRevolution","No Campaign"))))</f>
        <v>EndofSeasonSale</v>
      </c>
    </row>
    <row r="21" spans="1:8" x14ac:dyDescent="0.25">
      <c r="A21" s="28">
        <v>45474</v>
      </c>
      <c r="B21" s="22" t="s">
        <v>10</v>
      </c>
      <c r="C21" s="22">
        <v>144</v>
      </c>
      <c r="D21" s="22">
        <v>53</v>
      </c>
      <c r="E21" s="22">
        <v>113678</v>
      </c>
      <c r="F21" s="22">
        <v>8.7200000000000006</v>
      </c>
      <c r="G21" s="22">
        <v>30060</v>
      </c>
      <c r="H21" s="20" t="str">
        <f>IF(AND(A21&gt;='Campaign Data'!$B$2,'Engagment Summary'!A21&lt;='Campaign Data'!$C$2),"EndofSeasonSale",IF(AND(A21&gt;='Campaign Data'!$B$3,A21&lt;='Campaign Data'!$C$3),"FashionUpgrade",IF(AND(A21&gt;='Campaign Data'!$B$4,A21&lt;='Campaign Data'!$C$4),"MyntraFestiveEdit",IF(AND(A21&gt;='Campaign Data'!$B$5,A21&lt;='Campaign Data'!$C$5),"StyleRevolution","No Campaign"))))</f>
        <v>EndofSeasonSale</v>
      </c>
    </row>
    <row r="22" spans="1:8" x14ac:dyDescent="0.25">
      <c r="A22" s="27">
        <v>45481</v>
      </c>
      <c r="B22" s="19" t="s">
        <v>7</v>
      </c>
      <c r="C22" s="19">
        <v>1757</v>
      </c>
      <c r="D22" s="19">
        <v>85</v>
      </c>
      <c r="E22" s="19">
        <v>58223</v>
      </c>
      <c r="F22" s="19">
        <v>8.74</v>
      </c>
      <c r="G22" s="19">
        <v>22728</v>
      </c>
      <c r="H22" s="20" t="str">
        <f>IF(AND(A22&gt;='Campaign Data'!$B$2,'Engagment Summary'!A22&lt;='Campaign Data'!$C$2),"EndofSeasonSale",IF(AND(A22&gt;='Campaign Data'!$B$3,A22&lt;='Campaign Data'!$C$3),"FashionUpgrade",IF(AND(A22&gt;='Campaign Data'!$B$4,A22&lt;='Campaign Data'!$C$4),"MyntraFestiveEdit",IF(AND(A22&gt;='Campaign Data'!$B$5,A22&lt;='Campaign Data'!$C$5),"StyleRevolution","No Campaign"))))</f>
        <v>No Campaign</v>
      </c>
    </row>
    <row r="23" spans="1:8" x14ac:dyDescent="0.25">
      <c r="A23" s="28">
        <v>45481</v>
      </c>
      <c r="B23" s="22" t="s">
        <v>8</v>
      </c>
      <c r="C23" s="22">
        <v>350</v>
      </c>
      <c r="D23" s="22">
        <v>41</v>
      </c>
      <c r="E23" s="22">
        <v>251694</v>
      </c>
      <c r="F23" s="22">
        <v>1.91</v>
      </c>
      <c r="G23" s="22">
        <v>38610</v>
      </c>
      <c r="H23" s="20" t="str">
        <f>IF(AND(A23&gt;='Campaign Data'!$B$2,'Engagment Summary'!A23&lt;='Campaign Data'!$C$2),"EndofSeasonSale",IF(AND(A23&gt;='Campaign Data'!$B$3,A23&lt;='Campaign Data'!$C$3),"FashionUpgrade",IF(AND(A23&gt;='Campaign Data'!$B$4,A23&lt;='Campaign Data'!$C$4),"MyntraFestiveEdit",IF(AND(A23&gt;='Campaign Data'!$B$5,A23&lt;='Campaign Data'!$C$5),"StyleRevolution","No Campaign"))))</f>
        <v>No Campaign</v>
      </c>
    </row>
    <row r="24" spans="1:8" x14ac:dyDescent="0.25">
      <c r="A24" s="27">
        <v>45481</v>
      </c>
      <c r="B24" s="19" t="s">
        <v>9</v>
      </c>
      <c r="C24" s="19">
        <v>987</v>
      </c>
      <c r="D24" s="19">
        <v>440</v>
      </c>
      <c r="E24" s="19">
        <v>389810</v>
      </c>
      <c r="F24" s="19">
        <v>4.66</v>
      </c>
      <c r="G24" s="19">
        <v>2932</v>
      </c>
      <c r="H24" s="20" t="str">
        <f>IF(AND(A24&gt;='Campaign Data'!$B$2,'Engagment Summary'!A24&lt;='Campaign Data'!$C$2),"EndofSeasonSale",IF(AND(A24&gt;='Campaign Data'!$B$3,A24&lt;='Campaign Data'!$C$3),"FashionUpgrade",IF(AND(A24&gt;='Campaign Data'!$B$4,A24&lt;='Campaign Data'!$C$4),"MyntraFestiveEdit",IF(AND(A24&gt;='Campaign Data'!$B$5,A24&lt;='Campaign Data'!$C$5),"StyleRevolution","No Campaign"))))</f>
        <v>No Campaign</v>
      </c>
    </row>
    <row r="25" spans="1:8" x14ac:dyDescent="0.25">
      <c r="A25" s="28">
        <v>45481</v>
      </c>
      <c r="B25" s="22" t="s">
        <v>10</v>
      </c>
      <c r="C25" s="22">
        <v>883</v>
      </c>
      <c r="D25" s="22">
        <v>369</v>
      </c>
      <c r="E25" s="22">
        <v>233694</v>
      </c>
      <c r="F25" s="22">
        <v>2.88</v>
      </c>
      <c r="G25" s="22">
        <v>15071</v>
      </c>
      <c r="H25" s="20" t="str">
        <f>IF(AND(A25&gt;='Campaign Data'!$B$2,'Engagment Summary'!A25&lt;='Campaign Data'!$C$2),"EndofSeasonSale",IF(AND(A25&gt;='Campaign Data'!$B$3,A25&lt;='Campaign Data'!$C$3),"FashionUpgrade",IF(AND(A25&gt;='Campaign Data'!$B$4,A25&lt;='Campaign Data'!$C$4),"MyntraFestiveEdit",IF(AND(A25&gt;='Campaign Data'!$B$5,A25&lt;='Campaign Data'!$C$5),"StyleRevolution","No Campaign"))))</f>
        <v>No Campaign</v>
      </c>
    </row>
    <row r="26" spans="1:8" x14ac:dyDescent="0.25">
      <c r="A26" s="27">
        <v>45488</v>
      </c>
      <c r="B26" s="19" t="s">
        <v>7</v>
      </c>
      <c r="C26" s="19">
        <v>1960</v>
      </c>
      <c r="D26" s="19">
        <v>115</v>
      </c>
      <c r="E26" s="19">
        <v>154169</v>
      </c>
      <c r="F26" s="19">
        <v>3.74</v>
      </c>
      <c r="G26" s="19">
        <v>10740</v>
      </c>
      <c r="H26" s="20" t="str">
        <f>IF(AND(A26&gt;='Campaign Data'!$B$2,'Engagment Summary'!A26&lt;='Campaign Data'!$C$2),"EndofSeasonSale",IF(AND(A26&gt;='Campaign Data'!$B$3,A26&lt;='Campaign Data'!$C$3),"FashionUpgrade",IF(AND(A26&gt;='Campaign Data'!$B$4,A26&lt;='Campaign Data'!$C$4),"MyntraFestiveEdit",IF(AND(A26&gt;='Campaign Data'!$B$5,A26&lt;='Campaign Data'!$C$5),"StyleRevolution","No Campaign"))))</f>
        <v>No Campaign</v>
      </c>
    </row>
    <row r="27" spans="1:8" x14ac:dyDescent="0.25">
      <c r="A27" s="28">
        <v>45488</v>
      </c>
      <c r="B27" s="22" t="s">
        <v>8</v>
      </c>
      <c r="C27" s="22">
        <v>170</v>
      </c>
      <c r="D27" s="22">
        <v>334</v>
      </c>
      <c r="E27" s="22">
        <v>334626</v>
      </c>
      <c r="F27" s="22">
        <v>6.44</v>
      </c>
      <c r="G27" s="22">
        <v>43420</v>
      </c>
      <c r="H27" s="20" t="str">
        <f>IF(AND(A27&gt;='Campaign Data'!$B$2,'Engagment Summary'!A27&lt;='Campaign Data'!$C$2),"EndofSeasonSale",IF(AND(A27&gt;='Campaign Data'!$B$3,A27&lt;='Campaign Data'!$C$3),"FashionUpgrade",IF(AND(A27&gt;='Campaign Data'!$B$4,A27&lt;='Campaign Data'!$C$4),"MyntraFestiveEdit",IF(AND(A27&gt;='Campaign Data'!$B$5,A27&lt;='Campaign Data'!$C$5),"StyleRevolution","No Campaign"))))</f>
        <v>No Campaign</v>
      </c>
    </row>
    <row r="28" spans="1:8" x14ac:dyDescent="0.25">
      <c r="A28" s="27">
        <v>45488</v>
      </c>
      <c r="B28" s="19" t="s">
        <v>9</v>
      </c>
      <c r="C28" s="19">
        <v>704</v>
      </c>
      <c r="D28" s="19">
        <v>275</v>
      </c>
      <c r="E28" s="19">
        <v>226002</v>
      </c>
      <c r="F28" s="19">
        <v>8.56</v>
      </c>
      <c r="G28" s="19">
        <v>32393</v>
      </c>
      <c r="H28" s="20" t="str">
        <f>IF(AND(A28&gt;='Campaign Data'!$B$2,'Engagment Summary'!A28&lt;='Campaign Data'!$C$2),"EndofSeasonSale",IF(AND(A28&gt;='Campaign Data'!$B$3,A28&lt;='Campaign Data'!$C$3),"FashionUpgrade",IF(AND(A28&gt;='Campaign Data'!$B$4,A28&lt;='Campaign Data'!$C$4),"MyntraFestiveEdit",IF(AND(A28&gt;='Campaign Data'!$B$5,A28&lt;='Campaign Data'!$C$5),"StyleRevolution","No Campaign"))))</f>
        <v>No Campaign</v>
      </c>
    </row>
    <row r="29" spans="1:8" x14ac:dyDescent="0.25">
      <c r="A29" s="28">
        <v>45488</v>
      </c>
      <c r="B29" s="22" t="s">
        <v>10</v>
      </c>
      <c r="C29" s="22">
        <v>224</v>
      </c>
      <c r="D29" s="22">
        <v>64</v>
      </c>
      <c r="E29" s="22">
        <v>156683</v>
      </c>
      <c r="F29" s="22">
        <v>4.5599999999999996</v>
      </c>
      <c r="G29" s="22">
        <v>28474</v>
      </c>
      <c r="H29" s="20" t="str">
        <f>IF(AND(A29&gt;='Campaign Data'!$B$2,'Engagment Summary'!A29&lt;='Campaign Data'!$C$2),"EndofSeasonSale",IF(AND(A29&gt;='Campaign Data'!$B$3,A29&lt;='Campaign Data'!$C$3),"FashionUpgrade",IF(AND(A29&gt;='Campaign Data'!$B$4,A29&lt;='Campaign Data'!$C$4),"MyntraFestiveEdit",IF(AND(A29&gt;='Campaign Data'!$B$5,A29&lt;='Campaign Data'!$C$5),"StyleRevolution","No Campaign"))))</f>
        <v>No Campaign</v>
      </c>
    </row>
    <row r="30" spans="1:8" x14ac:dyDescent="0.25">
      <c r="A30" s="27">
        <v>45495</v>
      </c>
      <c r="B30" s="19" t="s">
        <v>7</v>
      </c>
      <c r="C30" s="19">
        <v>508</v>
      </c>
      <c r="D30" s="19">
        <v>349</v>
      </c>
      <c r="E30" s="19">
        <v>473812</v>
      </c>
      <c r="F30" s="19">
        <v>7.88</v>
      </c>
      <c r="G30" s="19">
        <v>17328</v>
      </c>
      <c r="H30" s="20" t="str">
        <f>IF(AND(A30&gt;='Campaign Data'!$B$2,'Engagment Summary'!A30&lt;='Campaign Data'!$C$2),"EndofSeasonSale",IF(AND(A30&gt;='Campaign Data'!$B$3,A30&lt;='Campaign Data'!$C$3),"FashionUpgrade",IF(AND(A30&gt;='Campaign Data'!$B$4,A30&lt;='Campaign Data'!$C$4),"MyntraFestiveEdit",IF(AND(A30&gt;='Campaign Data'!$B$5,A30&lt;='Campaign Data'!$C$5),"StyleRevolution","No Campaign"))))</f>
        <v>No Campaign</v>
      </c>
    </row>
    <row r="31" spans="1:8" x14ac:dyDescent="0.25">
      <c r="A31" s="28">
        <v>45495</v>
      </c>
      <c r="B31" s="22" t="s">
        <v>8</v>
      </c>
      <c r="C31" s="22">
        <v>1391</v>
      </c>
      <c r="D31" s="22">
        <v>430</v>
      </c>
      <c r="E31" s="22">
        <v>295032</v>
      </c>
      <c r="F31" s="22">
        <v>7.86</v>
      </c>
      <c r="G31" s="22">
        <v>26067</v>
      </c>
      <c r="H31" s="20" t="str">
        <f>IF(AND(A31&gt;='Campaign Data'!$B$2,'Engagment Summary'!A31&lt;='Campaign Data'!$C$2),"EndofSeasonSale",IF(AND(A31&gt;='Campaign Data'!$B$3,A31&lt;='Campaign Data'!$C$3),"FashionUpgrade",IF(AND(A31&gt;='Campaign Data'!$B$4,A31&lt;='Campaign Data'!$C$4),"MyntraFestiveEdit",IF(AND(A31&gt;='Campaign Data'!$B$5,A31&lt;='Campaign Data'!$C$5),"StyleRevolution","No Campaign"))))</f>
        <v>No Campaign</v>
      </c>
    </row>
    <row r="32" spans="1:8" x14ac:dyDescent="0.25">
      <c r="A32" s="27">
        <v>45495</v>
      </c>
      <c r="B32" s="19" t="s">
        <v>9</v>
      </c>
      <c r="C32" s="19">
        <v>1701</v>
      </c>
      <c r="D32" s="19">
        <v>385</v>
      </c>
      <c r="E32" s="19">
        <v>198278</v>
      </c>
      <c r="F32" s="19">
        <v>5.34</v>
      </c>
      <c r="G32" s="19">
        <v>32763</v>
      </c>
      <c r="H32" s="20" t="str">
        <f>IF(AND(A32&gt;='Campaign Data'!$B$2,'Engagment Summary'!A32&lt;='Campaign Data'!$C$2),"EndofSeasonSale",IF(AND(A32&gt;='Campaign Data'!$B$3,A32&lt;='Campaign Data'!$C$3),"FashionUpgrade",IF(AND(A32&gt;='Campaign Data'!$B$4,A32&lt;='Campaign Data'!$C$4),"MyntraFestiveEdit",IF(AND(A32&gt;='Campaign Data'!$B$5,A32&lt;='Campaign Data'!$C$5),"StyleRevolution","No Campaign"))))</f>
        <v>No Campaign</v>
      </c>
    </row>
    <row r="33" spans="1:8" x14ac:dyDescent="0.25">
      <c r="A33" s="28">
        <v>45495</v>
      </c>
      <c r="B33" s="22" t="s">
        <v>10</v>
      </c>
      <c r="C33" s="22">
        <v>804</v>
      </c>
      <c r="D33" s="22">
        <v>487</v>
      </c>
      <c r="E33" s="22">
        <v>306564</v>
      </c>
      <c r="F33" s="22">
        <v>5.52</v>
      </c>
      <c r="G33" s="22">
        <v>26452</v>
      </c>
      <c r="H33" s="20" t="str">
        <f>IF(AND(A33&gt;='Campaign Data'!$B$2,'Engagment Summary'!A33&lt;='Campaign Data'!$C$2),"EndofSeasonSale",IF(AND(A33&gt;='Campaign Data'!$B$3,A33&lt;='Campaign Data'!$C$3),"FashionUpgrade",IF(AND(A33&gt;='Campaign Data'!$B$4,A33&lt;='Campaign Data'!$C$4),"MyntraFestiveEdit",IF(AND(A33&gt;='Campaign Data'!$B$5,A33&lt;='Campaign Data'!$C$5),"StyleRevolution","No Campaign"))))</f>
        <v>No Campaign</v>
      </c>
    </row>
    <row r="34" spans="1:8" x14ac:dyDescent="0.25">
      <c r="A34" s="27">
        <v>45502</v>
      </c>
      <c r="B34" s="19" t="s">
        <v>7</v>
      </c>
      <c r="C34" s="19">
        <v>653</v>
      </c>
      <c r="D34" s="19">
        <v>112</v>
      </c>
      <c r="E34" s="19">
        <v>23664</v>
      </c>
      <c r="F34" s="19">
        <v>4.05</v>
      </c>
      <c r="G34" s="19">
        <v>15353</v>
      </c>
      <c r="H34" s="20" t="str">
        <f>IF(AND(A34&gt;='Campaign Data'!$B$2,'Engagment Summary'!A34&lt;='Campaign Data'!$C$2),"EndofSeasonSale",IF(AND(A34&gt;='Campaign Data'!$B$3,A34&lt;='Campaign Data'!$C$3),"FashionUpgrade",IF(AND(A34&gt;='Campaign Data'!$B$4,A34&lt;='Campaign Data'!$C$4),"MyntraFestiveEdit",IF(AND(A34&gt;='Campaign Data'!$B$5,A34&lt;='Campaign Data'!$C$5),"StyleRevolution","No Campaign"))))</f>
        <v>No Campaign</v>
      </c>
    </row>
    <row r="35" spans="1:8" x14ac:dyDescent="0.25">
      <c r="A35" s="28">
        <v>45502</v>
      </c>
      <c r="B35" s="22" t="s">
        <v>8</v>
      </c>
      <c r="C35" s="22">
        <v>160</v>
      </c>
      <c r="D35" s="22">
        <v>478</v>
      </c>
      <c r="E35" s="22">
        <v>435034</v>
      </c>
      <c r="F35" s="22">
        <v>7.73</v>
      </c>
      <c r="G35" s="22">
        <v>4839</v>
      </c>
      <c r="H35" s="20" t="str">
        <f>IF(AND(A35&gt;='Campaign Data'!$B$2,'Engagment Summary'!A35&lt;='Campaign Data'!$C$2),"EndofSeasonSale",IF(AND(A35&gt;='Campaign Data'!$B$3,A35&lt;='Campaign Data'!$C$3),"FashionUpgrade",IF(AND(A35&gt;='Campaign Data'!$B$4,A35&lt;='Campaign Data'!$C$4),"MyntraFestiveEdit",IF(AND(A35&gt;='Campaign Data'!$B$5,A35&lt;='Campaign Data'!$C$5),"StyleRevolution","No Campaign"))))</f>
        <v>No Campaign</v>
      </c>
    </row>
    <row r="36" spans="1:8" x14ac:dyDescent="0.25">
      <c r="A36" s="27">
        <v>45502</v>
      </c>
      <c r="B36" s="19" t="s">
        <v>9</v>
      </c>
      <c r="C36" s="19">
        <v>1756</v>
      </c>
      <c r="D36" s="19">
        <v>261</v>
      </c>
      <c r="E36" s="19">
        <v>287574</v>
      </c>
      <c r="F36" s="19">
        <v>4.3600000000000003</v>
      </c>
      <c r="G36" s="19">
        <v>39272</v>
      </c>
      <c r="H36" s="20" t="str">
        <f>IF(AND(A36&gt;='Campaign Data'!$B$2,'Engagment Summary'!A36&lt;='Campaign Data'!$C$2),"EndofSeasonSale",IF(AND(A36&gt;='Campaign Data'!$B$3,A36&lt;='Campaign Data'!$C$3),"FashionUpgrade",IF(AND(A36&gt;='Campaign Data'!$B$4,A36&lt;='Campaign Data'!$C$4),"MyntraFestiveEdit",IF(AND(A36&gt;='Campaign Data'!$B$5,A36&lt;='Campaign Data'!$C$5),"StyleRevolution","No Campaign"))))</f>
        <v>No Campaign</v>
      </c>
    </row>
    <row r="37" spans="1:8" x14ac:dyDescent="0.25">
      <c r="A37" s="28">
        <v>45502</v>
      </c>
      <c r="B37" s="22" t="s">
        <v>10</v>
      </c>
      <c r="C37" s="22">
        <v>576</v>
      </c>
      <c r="D37" s="22">
        <v>101</v>
      </c>
      <c r="E37" s="22">
        <v>62499</v>
      </c>
      <c r="F37" s="22">
        <v>3.48</v>
      </c>
      <c r="G37" s="22">
        <v>16804</v>
      </c>
      <c r="H37" s="20" t="str">
        <f>IF(AND(A37&gt;='Campaign Data'!$B$2,'Engagment Summary'!A37&lt;='Campaign Data'!$C$2),"EndofSeasonSale",IF(AND(A37&gt;='Campaign Data'!$B$3,A37&lt;='Campaign Data'!$C$3),"FashionUpgrade",IF(AND(A37&gt;='Campaign Data'!$B$4,A37&lt;='Campaign Data'!$C$4),"MyntraFestiveEdit",IF(AND(A37&gt;='Campaign Data'!$B$5,A37&lt;='Campaign Data'!$C$5),"StyleRevolution","No Campaign"))))</f>
        <v>No Campaign</v>
      </c>
    </row>
    <row r="38" spans="1:8" x14ac:dyDescent="0.25">
      <c r="A38" s="27">
        <v>45509</v>
      </c>
      <c r="B38" s="19" t="s">
        <v>7</v>
      </c>
      <c r="C38" s="19">
        <v>645</v>
      </c>
      <c r="D38" s="19">
        <v>293</v>
      </c>
      <c r="E38" s="19">
        <v>437968</v>
      </c>
      <c r="F38" s="19">
        <v>7.83</v>
      </c>
      <c r="G38" s="19">
        <v>49303</v>
      </c>
      <c r="H38" s="20" t="str">
        <f>IF(AND(A38&gt;='Campaign Data'!$B$2,'Engagment Summary'!A38&lt;='Campaign Data'!$C$2),"EndofSeasonSale",IF(AND(A38&gt;='Campaign Data'!$B$3,A38&lt;='Campaign Data'!$C$3),"FashionUpgrade",IF(AND(A38&gt;='Campaign Data'!$B$4,A38&lt;='Campaign Data'!$C$4),"MyntraFestiveEdit",IF(AND(A38&gt;='Campaign Data'!$B$5,A38&lt;='Campaign Data'!$C$5),"StyleRevolution","No Campaign"))))</f>
        <v>FashionUpgrade</v>
      </c>
    </row>
    <row r="39" spans="1:8" x14ac:dyDescent="0.25">
      <c r="A39" s="28">
        <v>45509</v>
      </c>
      <c r="B39" s="22" t="s">
        <v>8</v>
      </c>
      <c r="C39" s="22">
        <v>214</v>
      </c>
      <c r="D39" s="22">
        <v>411</v>
      </c>
      <c r="E39" s="22">
        <v>125034</v>
      </c>
      <c r="F39" s="22">
        <v>6.11</v>
      </c>
      <c r="G39" s="22">
        <v>26455</v>
      </c>
      <c r="H39" s="20" t="str">
        <f>IF(AND(A39&gt;='Campaign Data'!$B$2,'Engagment Summary'!A39&lt;='Campaign Data'!$C$2),"EndofSeasonSale",IF(AND(A39&gt;='Campaign Data'!$B$3,A39&lt;='Campaign Data'!$C$3),"FashionUpgrade",IF(AND(A39&gt;='Campaign Data'!$B$4,A39&lt;='Campaign Data'!$C$4),"MyntraFestiveEdit",IF(AND(A39&gt;='Campaign Data'!$B$5,A39&lt;='Campaign Data'!$C$5),"StyleRevolution","No Campaign"))))</f>
        <v>FashionUpgrade</v>
      </c>
    </row>
    <row r="40" spans="1:8" x14ac:dyDescent="0.25">
      <c r="A40" s="27">
        <v>45509</v>
      </c>
      <c r="B40" s="19" t="s">
        <v>9</v>
      </c>
      <c r="C40" s="19">
        <v>826</v>
      </c>
      <c r="D40" s="19">
        <v>498</v>
      </c>
      <c r="E40" s="19">
        <v>449994</v>
      </c>
      <c r="F40" s="19">
        <v>9.43</v>
      </c>
      <c r="G40" s="19">
        <v>12384</v>
      </c>
      <c r="H40" s="20" t="str">
        <f>IF(AND(A40&gt;='Campaign Data'!$B$2,'Engagment Summary'!A40&lt;='Campaign Data'!$C$2),"EndofSeasonSale",IF(AND(A40&gt;='Campaign Data'!$B$3,A40&lt;='Campaign Data'!$C$3),"FashionUpgrade",IF(AND(A40&gt;='Campaign Data'!$B$4,A40&lt;='Campaign Data'!$C$4),"MyntraFestiveEdit",IF(AND(A40&gt;='Campaign Data'!$B$5,A40&lt;='Campaign Data'!$C$5),"StyleRevolution","No Campaign"))))</f>
        <v>FashionUpgrade</v>
      </c>
    </row>
    <row r="41" spans="1:8" x14ac:dyDescent="0.25">
      <c r="A41" s="28">
        <v>45509</v>
      </c>
      <c r="B41" s="22" t="s">
        <v>10</v>
      </c>
      <c r="C41" s="22">
        <v>460</v>
      </c>
      <c r="D41" s="22">
        <v>141</v>
      </c>
      <c r="E41" s="22">
        <v>320650</v>
      </c>
      <c r="F41" s="22">
        <v>4.04</v>
      </c>
      <c r="G41" s="22">
        <v>49372</v>
      </c>
      <c r="H41" s="20" t="str">
        <f>IF(AND(A41&gt;='Campaign Data'!$B$2,'Engagment Summary'!A41&lt;='Campaign Data'!$C$2),"EndofSeasonSale",IF(AND(A41&gt;='Campaign Data'!$B$3,A41&lt;='Campaign Data'!$C$3),"FashionUpgrade",IF(AND(A41&gt;='Campaign Data'!$B$4,A41&lt;='Campaign Data'!$C$4),"MyntraFestiveEdit",IF(AND(A41&gt;='Campaign Data'!$B$5,A41&lt;='Campaign Data'!$C$5),"StyleRevolution","No Campaign"))))</f>
        <v>FashionUpgrade</v>
      </c>
    </row>
    <row r="42" spans="1:8" x14ac:dyDescent="0.25">
      <c r="A42" s="27">
        <v>45516</v>
      </c>
      <c r="B42" s="19" t="s">
        <v>7</v>
      </c>
      <c r="C42" s="19">
        <v>1528</v>
      </c>
      <c r="D42" s="19">
        <v>203</v>
      </c>
      <c r="E42" s="19">
        <v>489188</v>
      </c>
      <c r="F42" s="19">
        <v>6.23</v>
      </c>
      <c r="G42" s="19">
        <v>47101</v>
      </c>
      <c r="H42" s="20" t="str">
        <f>IF(AND(A42&gt;='Campaign Data'!$B$2,'Engagment Summary'!A42&lt;='Campaign Data'!$C$2),"EndofSeasonSale",IF(AND(A42&gt;='Campaign Data'!$B$3,A42&lt;='Campaign Data'!$C$3),"FashionUpgrade",IF(AND(A42&gt;='Campaign Data'!$B$4,A42&lt;='Campaign Data'!$C$4),"MyntraFestiveEdit",IF(AND(A42&gt;='Campaign Data'!$B$5,A42&lt;='Campaign Data'!$C$5),"StyleRevolution","No Campaign"))))</f>
        <v>FashionUpgrade</v>
      </c>
    </row>
    <row r="43" spans="1:8" x14ac:dyDescent="0.25">
      <c r="A43" s="28">
        <v>45516</v>
      </c>
      <c r="B43" s="22" t="s">
        <v>8</v>
      </c>
      <c r="C43" s="22">
        <v>1534</v>
      </c>
      <c r="D43" s="22">
        <v>200</v>
      </c>
      <c r="E43" s="22">
        <v>307612</v>
      </c>
      <c r="F43" s="22">
        <v>6.01</v>
      </c>
      <c r="G43" s="22">
        <v>37903</v>
      </c>
      <c r="H43" s="20" t="str">
        <f>IF(AND(A43&gt;='Campaign Data'!$B$2,'Engagment Summary'!A43&lt;='Campaign Data'!$C$2),"EndofSeasonSale",IF(AND(A43&gt;='Campaign Data'!$B$3,A43&lt;='Campaign Data'!$C$3),"FashionUpgrade",IF(AND(A43&gt;='Campaign Data'!$B$4,A43&lt;='Campaign Data'!$C$4),"MyntraFestiveEdit",IF(AND(A43&gt;='Campaign Data'!$B$5,A43&lt;='Campaign Data'!$C$5),"StyleRevolution","No Campaign"))))</f>
        <v>FashionUpgrade</v>
      </c>
    </row>
    <row r="44" spans="1:8" x14ac:dyDescent="0.25">
      <c r="A44" s="27">
        <v>45516</v>
      </c>
      <c r="B44" s="19" t="s">
        <v>9</v>
      </c>
      <c r="C44" s="19">
        <v>485</v>
      </c>
      <c r="D44" s="19">
        <v>448</v>
      </c>
      <c r="E44" s="19">
        <v>434883</v>
      </c>
      <c r="F44" s="19">
        <v>8.5500000000000007</v>
      </c>
      <c r="G44" s="19">
        <v>33258</v>
      </c>
      <c r="H44" s="20" t="str">
        <f>IF(AND(A44&gt;='Campaign Data'!$B$2,'Engagment Summary'!A44&lt;='Campaign Data'!$C$2),"EndofSeasonSale",IF(AND(A44&gt;='Campaign Data'!$B$3,A44&lt;='Campaign Data'!$C$3),"FashionUpgrade",IF(AND(A44&gt;='Campaign Data'!$B$4,A44&lt;='Campaign Data'!$C$4),"MyntraFestiveEdit",IF(AND(A44&gt;='Campaign Data'!$B$5,A44&lt;='Campaign Data'!$C$5),"StyleRevolution","No Campaign"))))</f>
        <v>FashionUpgrade</v>
      </c>
    </row>
    <row r="45" spans="1:8" x14ac:dyDescent="0.25">
      <c r="A45" s="28">
        <v>45516</v>
      </c>
      <c r="B45" s="22" t="s">
        <v>10</v>
      </c>
      <c r="C45" s="22">
        <v>1210</v>
      </c>
      <c r="D45" s="22">
        <v>178</v>
      </c>
      <c r="E45" s="22">
        <v>102042</v>
      </c>
      <c r="F45" s="22">
        <v>5.42</v>
      </c>
      <c r="G45" s="22">
        <v>6915</v>
      </c>
      <c r="H45" s="20" t="str">
        <f>IF(AND(A45&gt;='Campaign Data'!$B$2,'Engagment Summary'!A45&lt;='Campaign Data'!$C$2),"EndofSeasonSale",IF(AND(A45&gt;='Campaign Data'!$B$3,A45&lt;='Campaign Data'!$C$3),"FashionUpgrade",IF(AND(A45&gt;='Campaign Data'!$B$4,A45&lt;='Campaign Data'!$C$4),"MyntraFestiveEdit",IF(AND(A45&gt;='Campaign Data'!$B$5,A45&lt;='Campaign Data'!$C$5),"StyleRevolution","No Campaign"))))</f>
        <v>FashionUpgrade</v>
      </c>
    </row>
    <row r="46" spans="1:8" x14ac:dyDescent="0.25">
      <c r="A46" s="27">
        <v>45523</v>
      </c>
      <c r="B46" s="19" t="s">
        <v>7</v>
      </c>
      <c r="C46" s="19">
        <v>215</v>
      </c>
      <c r="D46" s="19">
        <v>139</v>
      </c>
      <c r="E46" s="19">
        <v>325444</v>
      </c>
      <c r="F46" s="19">
        <v>3.25</v>
      </c>
      <c r="G46" s="19">
        <v>35501</v>
      </c>
      <c r="H46" s="20" t="str">
        <f>IF(AND(A46&gt;='Campaign Data'!$B$2,'Engagment Summary'!A46&lt;='Campaign Data'!$C$2),"EndofSeasonSale",IF(AND(A46&gt;='Campaign Data'!$B$3,A46&lt;='Campaign Data'!$C$3),"FashionUpgrade",IF(AND(A46&gt;='Campaign Data'!$B$4,A46&lt;='Campaign Data'!$C$4),"MyntraFestiveEdit",IF(AND(A46&gt;='Campaign Data'!$B$5,A46&lt;='Campaign Data'!$C$5),"StyleRevolution","No Campaign"))))</f>
        <v>FashionUpgrade</v>
      </c>
    </row>
    <row r="47" spans="1:8" x14ac:dyDescent="0.25">
      <c r="A47" s="28">
        <v>45523</v>
      </c>
      <c r="B47" s="22" t="s">
        <v>8</v>
      </c>
      <c r="C47" s="22">
        <v>1078</v>
      </c>
      <c r="D47" s="22">
        <v>20</v>
      </c>
      <c r="E47" s="22">
        <v>183924</v>
      </c>
      <c r="F47" s="22">
        <v>8.84</v>
      </c>
      <c r="G47" s="22">
        <v>14203</v>
      </c>
      <c r="H47" s="20" t="str">
        <f>IF(AND(A47&gt;='Campaign Data'!$B$2,'Engagment Summary'!A47&lt;='Campaign Data'!$C$2),"EndofSeasonSale",IF(AND(A47&gt;='Campaign Data'!$B$3,A47&lt;='Campaign Data'!$C$3),"FashionUpgrade",IF(AND(A47&gt;='Campaign Data'!$B$4,A47&lt;='Campaign Data'!$C$4),"MyntraFestiveEdit",IF(AND(A47&gt;='Campaign Data'!$B$5,A47&lt;='Campaign Data'!$C$5),"StyleRevolution","No Campaign"))))</f>
        <v>FashionUpgrade</v>
      </c>
    </row>
    <row r="48" spans="1:8" x14ac:dyDescent="0.25">
      <c r="A48" s="27">
        <v>45523</v>
      </c>
      <c r="B48" s="19" t="s">
        <v>9</v>
      </c>
      <c r="C48" s="19">
        <v>1751</v>
      </c>
      <c r="D48" s="19">
        <v>86</v>
      </c>
      <c r="E48" s="19">
        <v>188655</v>
      </c>
      <c r="F48" s="19">
        <v>7.24</v>
      </c>
      <c r="G48" s="19">
        <v>22206</v>
      </c>
      <c r="H48" s="20" t="str">
        <f>IF(AND(A48&gt;='Campaign Data'!$B$2,'Engagment Summary'!A48&lt;='Campaign Data'!$C$2),"EndofSeasonSale",IF(AND(A48&gt;='Campaign Data'!$B$3,A48&lt;='Campaign Data'!$C$3),"FashionUpgrade",IF(AND(A48&gt;='Campaign Data'!$B$4,A48&lt;='Campaign Data'!$C$4),"MyntraFestiveEdit",IF(AND(A48&gt;='Campaign Data'!$B$5,A48&lt;='Campaign Data'!$C$5),"StyleRevolution","No Campaign"))))</f>
        <v>FashionUpgrade</v>
      </c>
    </row>
    <row r="49" spans="1:8" x14ac:dyDescent="0.25">
      <c r="A49" s="28">
        <v>45523</v>
      </c>
      <c r="B49" s="22" t="s">
        <v>10</v>
      </c>
      <c r="C49" s="22">
        <v>221</v>
      </c>
      <c r="D49" s="22">
        <v>31</v>
      </c>
      <c r="E49" s="22">
        <v>87443</v>
      </c>
      <c r="F49" s="22">
        <v>6.19</v>
      </c>
      <c r="G49" s="22">
        <v>10283</v>
      </c>
      <c r="H49" s="20" t="str">
        <f>IF(AND(A49&gt;='Campaign Data'!$B$2,'Engagment Summary'!A49&lt;='Campaign Data'!$C$2),"EndofSeasonSale",IF(AND(A49&gt;='Campaign Data'!$B$3,A49&lt;='Campaign Data'!$C$3),"FashionUpgrade",IF(AND(A49&gt;='Campaign Data'!$B$4,A49&lt;='Campaign Data'!$C$4),"MyntraFestiveEdit",IF(AND(A49&gt;='Campaign Data'!$B$5,A49&lt;='Campaign Data'!$C$5),"StyleRevolution","No Campaign"))))</f>
        <v>FashionUpgrade</v>
      </c>
    </row>
    <row r="50" spans="1:8" x14ac:dyDescent="0.25">
      <c r="A50" s="27">
        <v>45530</v>
      </c>
      <c r="B50" s="19" t="s">
        <v>7</v>
      </c>
      <c r="C50" s="19">
        <v>1685</v>
      </c>
      <c r="D50" s="19">
        <v>76</v>
      </c>
      <c r="E50" s="19">
        <v>453799</v>
      </c>
      <c r="F50" s="19">
        <v>5.71</v>
      </c>
      <c r="G50" s="19">
        <v>24913</v>
      </c>
      <c r="H50" s="20" t="str">
        <f>IF(AND(A50&gt;='Campaign Data'!$B$2,'Engagment Summary'!A50&lt;='Campaign Data'!$C$2),"EndofSeasonSale",IF(AND(A50&gt;='Campaign Data'!$B$3,A50&lt;='Campaign Data'!$C$3),"FashionUpgrade",IF(AND(A50&gt;='Campaign Data'!$B$4,A50&lt;='Campaign Data'!$C$4),"MyntraFestiveEdit",IF(AND(A50&gt;='Campaign Data'!$B$5,A50&lt;='Campaign Data'!$C$5),"StyleRevolution","No Campaign"))))</f>
        <v>FashionUpgrade</v>
      </c>
    </row>
    <row r="51" spans="1:8" x14ac:dyDescent="0.25">
      <c r="A51" s="28">
        <v>45530</v>
      </c>
      <c r="B51" s="22" t="s">
        <v>8</v>
      </c>
      <c r="C51" s="22">
        <v>248</v>
      </c>
      <c r="D51" s="22">
        <v>211</v>
      </c>
      <c r="E51" s="22">
        <v>379380</v>
      </c>
      <c r="F51" s="22">
        <v>9.0399999999999991</v>
      </c>
      <c r="G51" s="22">
        <v>26925</v>
      </c>
      <c r="H51" s="20" t="str">
        <f>IF(AND(A51&gt;='Campaign Data'!$B$2,'Engagment Summary'!A51&lt;='Campaign Data'!$C$2),"EndofSeasonSale",IF(AND(A51&gt;='Campaign Data'!$B$3,A51&lt;='Campaign Data'!$C$3),"FashionUpgrade",IF(AND(A51&gt;='Campaign Data'!$B$4,A51&lt;='Campaign Data'!$C$4),"MyntraFestiveEdit",IF(AND(A51&gt;='Campaign Data'!$B$5,A51&lt;='Campaign Data'!$C$5),"StyleRevolution","No Campaign"))))</f>
        <v>FashionUpgrade</v>
      </c>
    </row>
    <row r="52" spans="1:8" x14ac:dyDescent="0.25">
      <c r="A52" s="27">
        <v>45530</v>
      </c>
      <c r="B52" s="19" t="s">
        <v>9</v>
      </c>
      <c r="C52" s="19">
        <v>1300</v>
      </c>
      <c r="D52" s="19">
        <v>71</v>
      </c>
      <c r="E52" s="19">
        <v>186454</v>
      </c>
      <c r="F52" s="19">
        <v>3.91</v>
      </c>
      <c r="G52" s="19">
        <v>9942</v>
      </c>
      <c r="H52" s="20" t="str">
        <f>IF(AND(A52&gt;='Campaign Data'!$B$2,'Engagment Summary'!A52&lt;='Campaign Data'!$C$2),"EndofSeasonSale",IF(AND(A52&gt;='Campaign Data'!$B$3,A52&lt;='Campaign Data'!$C$3),"FashionUpgrade",IF(AND(A52&gt;='Campaign Data'!$B$4,A52&lt;='Campaign Data'!$C$4),"MyntraFestiveEdit",IF(AND(A52&gt;='Campaign Data'!$B$5,A52&lt;='Campaign Data'!$C$5),"StyleRevolution","No Campaign"))))</f>
        <v>FashionUpgrade</v>
      </c>
    </row>
    <row r="53" spans="1:8" x14ac:dyDescent="0.25">
      <c r="A53" s="28">
        <v>45530</v>
      </c>
      <c r="B53" s="22" t="s">
        <v>10</v>
      </c>
      <c r="C53" s="22">
        <v>422</v>
      </c>
      <c r="D53" s="22">
        <v>394</v>
      </c>
      <c r="E53" s="22">
        <v>239044</v>
      </c>
      <c r="F53" s="22">
        <v>7.83</v>
      </c>
      <c r="G53" s="22">
        <v>32929</v>
      </c>
      <c r="H53" s="20" t="str">
        <f>IF(AND(A53&gt;='Campaign Data'!$B$2,'Engagment Summary'!A53&lt;='Campaign Data'!$C$2),"EndofSeasonSale",IF(AND(A53&gt;='Campaign Data'!$B$3,A53&lt;='Campaign Data'!$C$3),"FashionUpgrade",IF(AND(A53&gt;='Campaign Data'!$B$4,A53&lt;='Campaign Data'!$C$4),"MyntraFestiveEdit",IF(AND(A53&gt;='Campaign Data'!$B$5,A53&lt;='Campaign Data'!$C$5),"StyleRevolution","No Campaign"))))</f>
        <v>FashionUpgrade</v>
      </c>
    </row>
    <row r="54" spans="1:8" x14ac:dyDescent="0.25">
      <c r="A54" s="27">
        <v>45537</v>
      </c>
      <c r="B54" s="19" t="s">
        <v>7</v>
      </c>
      <c r="C54" s="19">
        <v>1429</v>
      </c>
      <c r="D54" s="19">
        <v>182</v>
      </c>
      <c r="E54" s="19">
        <v>101332</v>
      </c>
      <c r="F54" s="19">
        <v>7.16</v>
      </c>
      <c r="G54" s="19">
        <v>37829</v>
      </c>
      <c r="H54" s="20" t="str">
        <f>IF(AND(A54&gt;='Campaign Data'!$B$2,'Engagment Summary'!A54&lt;='Campaign Data'!$C$2),"EndofSeasonSale",IF(AND(A54&gt;='Campaign Data'!$B$3,A54&lt;='Campaign Data'!$C$3),"FashionUpgrade",IF(AND(A54&gt;='Campaign Data'!$B$4,A54&lt;='Campaign Data'!$C$4),"MyntraFestiveEdit",IF(AND(A54&gt;='Campaign Data'!$B$5,A54&lt;='Campaign Data'!$C$5),"StyleRevolution","No Campaign"))))</f>
        <v>No Campaign</v>
      </c>
    </row>
    <row r="55" spans="1:8" x14ac:dyDescent="0.25">
      <c r="A55" s="28">
        <v>45537</v>
      </c>
      <c r="B55" s="22" t="s">
        <v>8</v>
      </c>
      <c r="C55" s="22">
        <v>1520</v>
      </c>
      <c r="D55" s="22">
        <v>475</v>
      </c>
      <c r="E55" s="22">
        <v>496982</v>
      </c>
      <c r="F55" s="22">
        <v>6.41</v>
      </c>
      <c r="G55" s="22">
        <v>24384</v>
      </c>
      <c r="H55" s="20" t="str">
        <f>IF(AND(A55&gt;='Campaign Data'!$B$2,'Engagment Summary'!A55&lt;='Campaign Data'!$C$2),"EndofSeasonSale",IF(AND(A55&gt;='Campaign Data'!$B$3,A55&lt;='Campaign Data'!$C$3),"FashionUpgrade",IF(AND(A55&gt;='Campaign Data'!$B$4,A55&lt;='Campaign Data'!$C$4),"MyntraFestiveEdit",IF(AND(A55&gt;='Campaign Data'!$B$5,A55&lt;='Campaign Data'!$C$5),"StyleRevolution","No Campaign"))))</f>
        <v>No Campaign</v>
      </c>
    </row>
    <row r="56" spans="1:8" x14ac:dyDescent="0.25">
      <c r="A56" s="27">
        <v>45537</v>
      </c>
      <c r="B56" s="19" t="s">
        <v>9</v>
      </c>
      <c r="C56" s="19">
        <v>557</v>
      </c>
      <c r="D56" s="19">
        <v>360</v>
      </c>
      <c r="E56" s="19">
        <v>318779</v>
      </c>
      <c r="F56" s="19">
        <v>8.02</v>
      </c>
      <c r="G56" s="19">
        <v>25797</v>
      </c>
      <c r="H56" s="20" t="str">
        <f>IF(AND(A56&gt;='Campaign Data'!$B$2,'Engagment Summary'!A56&lt;='Campaign Data'!$C$2),"EndofSeasonSale",IF(AND(A56&gt;='Campaign Data'!$B$3,A56&lt;='Campaign Data'!$C$3),"FashionUpgrade",IF(AND(A56&gt;='Campaign Data'!$B$4,A56&lt;='Campaign Data'!$C$4),"MyntraFestiveEdit",IF(AND(A56&gt;='Campaign Data'!$B$5,A56&lt;='Campaign Data'!$C$5),"StyleRevolution","No Campaign"))))</f>
        <v>No Campaign</v>
      </c>
    </row>
    <row r="57" spans="1:8" x14ac:dyDescent="0.25">
      <c r="A57" s="28">
        <v>45537</v>
      </c>
      <c r="B57" s="22" t="s">
        <v>10</v>
      </c>
      <c r="C57" s="22">
        <v>728</v>
      </c>
      <c r="D57" s="22">
        <v>395</v>
      </c>
      <c r="E57" s="22">
        <v>370971</v>
      </c>
      <c r="F57" s="22">
        <v>3.86</v>
      </c>
      <c r="G57" s="22">
        <v>12646</v>
      </c>
      <c r="H57" s="20" t="str">
        <f>IF(AND(A57&gt;='Campaign Data'!$B$2,'Engagment Summary'!A57&lt;='Campaign Data'!$C$2),"EndofSeasonSale",IF(AND(A57&gt;='Campaign Data'!$B$3,A57&lt;='Campaign Data'!$C$3),"FashionUpgrade",IF(AND(A57&gt;='Campaign Data'!$B$4,A57&lt;='Campaign Data'!$C$4),"MyntraFestiveEdit",IF(AND(A57&gt;='Campaign Data'!$B$5,A57&lt;='Campaign Data'!$C$5),"StyleRevolution","No Campaign"))))</f>
        <v>No Campaign</v>
      </c>
    </row>
    <row r="58" spans="1:8" x14ac:dyDescent="0.25">
      <c r="A58" s="27">
        <v>45544</v>
      </c>
      <c r="B58" s="19" t="s">
        <v>7</v>
      </c>
      <c r="C58" s="19">
        <v>1592</v>
      </c>
      <c r="D58" s="19">
        <v>20</v>
      </c>
      <c r="E58" s="19">
        <v>378054</v>
      </c>
      <c r="F58" s="19">
        <v>9.09</v>
      </c>
      <c r="G58" s="19">
        <v>26663</v>
      </c>
      <c r="H58" s="20" t="str">
        <f>IF(AND(A58&gt;='Campaign Data'!$B$2,'Engagment Summary'!A58&lt;='Campaign Data'!$C$2),"EndofSeasonSale",IF(AND(A58&gt;='Campaign Data'!$B$3,A58&lt;='Campaign Data'!$C$3),"FashionUpgrade",IF(AND(A58&gt;='Campaign Data'!$B$4,A58&lt;='Campaign Data'!$C$4),"MyntraFestiveEdit",IF(AND(A58&gt;='Campaign Data'!$B$5,A58&lt;='Campaign Data'!$C$5),"StyleRevolution","No Campaign"))))</f>
        <v>No Campaign</v>
      </c>
    </row>
    <row r="59" spans="1:8" x14ac:dyDescent="0.25">
      <c r="A59" s="28">
        <v>45544</v>
      </c>
      <c r="B59" s="22" t="s">
        <v>8</v>
      </c>
      <c r="C59" s="22">
        <v>1842</v>
      </c>
      <c r="D59" s="22">
        <v>414</v>
      </c>
      <c r="E59" s="22">
        <v>307524</v>
      </c>
      <c r="F59" s="22">
        <v>1.76</v>
      </c>
      <c r="G59" s="22">
        <v>40478</v>
      </c>
      <c r="H59" s="20" t="str">
        <f>IF(AND(A59&gt;='Campaign Data'!$B$2,'Engagment Summary'!A59&lt;='Campaign Data'!$C$2),"EndofSeasonSale",IF(AND(A59&gt;='Campaign Data'!$B$3,A59&lt;='Campaign Data'!$C$3),"FashionUpgrade",IF(AND(A59&gt;='Campaign Data'!$B$4,A59&lt;='Campaign Data'!$C$4),"MyntraFestiveEdit",IF(AND(A59&gt;='Campaign Data'!$B$5,A59&lt;='Campaign Data'!$C$5),"StyleRevolution","No Campaign"))))</f>
        <v>No Campaign</v>
      </c>
    </row>
    <row r="60" spans="1:8" x14ac:dyDescent="0.25">
      <c r="A60" s="27">
        <v>45544</v>
      </c>
      <c r="B60" s="19" t="s">
        <v>9</v>
      </c>
      <c r="C60" s="19">
        <v>751</v>
      </c>
      <c r="D60" s="19">
        <v>491</v>
      </c>
      <c r="E60" s="19">
        <v>434047</v>
      </c>
      <c r="F60" s="19">
        <v>9.24</v>
      </c>
      <c r="G60" s="19">
        <v>15476</v>
      </c>
      <c r="H60" s="20" t="str">
        <f>IF(AND(A60&gt;='Campaign Data'!$B$2,'Engagment Summary'!A60&lt;='Campaign Data'!$C$2),"EndofSeasonSale",IF(AND(A60&gt;='Campaign Data'!$B$3,A60&lt;='Campaign Data'!$C$3),"FashionUpgrade",IF(AND(A60&gt;='Campaign Data'!$B$4,A60&lt;='Campaign Data'!$C$4),"MyntraFestiveEdit",IF(AND(A60&gt;='Campaign Data'!$B$5,A60&lt;='Campaign Data'!$C$5),"StyleRevolution","No Campaign"))))</f>
        <v>No Campaign</v>
      </c>
    </row>
    <row r="61" spans="1:8" x14ac:dyDescent="0.25">
      <c r="A61" s="28">
        <v>45544</v>
      </c>
      <c r="B61" s="22" t="s">
        <v>10</v>
      </c>
      <c r="C61" s="22">
        <v>1409</v>
      </c>
      <c r="D61" s="22">
        <v>309</v>
      </c>
      <c r="E61" s="22">
        <v>64583</v>
      </c>
      <c r="F61" s="22">
        <v>8.99</v>
      </c>
      <c r="G61" s="22">
        <v>10217</v>
      </c>
      <c r="H61" s="20" t="str">
        <f>IF(AND(A61&gt;='Campaign Data'!$B$2,'Engagment Summary'!A61&lt;='Campaign Data'!$C$2),"EndofSeasonSale",IF(AND(A61&gt;='Campaign Data'!$B$3,A61&lt;='Campaign Data'!$C$3),"FashionUpgrade",IF(AND(A61&gt;='Campaign Data'!$B$4,A61&lt;='Campaign Data'!$C$4),"MyntraFestiveEdit",IF(AND(A61&gt;='Campaign Data'!$B$5,A61&lt;='Campaign Data'!$C$5),"StyleRevolution","No Campaign"))))</f>
        <v>No Campaign</v>
      </c>
    </row>
    <row r="62" spans="1:8" x14ac:dyDescent="0.25">
      <c r="A62" s="27">
        <v>45551</v>
      </c>
      <c r="B62" s="19" t="s">
        <v>7</v>
      </c>
      <c r="C62" s="19">
        <v>778</v>
      </c>
      <c r="D62" s="19">
        <v>401</v>
      </c>
      <c r="E62" s="19">
        <v>50793</v>
      </c>
      <c r="F62" s="19">
        <v>3.4</v>
      </c>
      <c r="G62" s="19">
        <v>21939</v>
      </c>
      <c r="H62" s="20" t="str">
        <f>IF(AND(A62&gt;='Campaign Data'!$B$2,'Engagment Summary'!A62&lt;='Campaign Data'!$C$2),"EndofSeasonSale",IF(AND(A62&gt;='Campaign Data'!$B$3,A62&lt;='Campaign Data'!$C$3),"FashionUpgrade",IF(AND(A62&gt;='Campaign Data'!$B$4,A62&lt;='Campaign Data'!$C$4),"MyntraFestiveEdit",IF(AND(A62&gt;='Campaign Data'!$B$5,A62&lt;='Campaign Data'!$C$5),"StyleRevolution","No Campaign"))))</f>
        <v>No Campaign</v>
      </c>
    </row>
    <row r="63" spans="1:8" x14ac:dyDescent="0.25">
      <c r="A63" s="28">
        <v>45551</v>
      </c>
      <c r="B63" s="22" t="s">
        <v>8</v>
      </c>
      <c r="C63" s="22">
        <v>443</v>
      </c>
      <c r="D63" s="22">
        <v>345</v>
      </c>
      <c r="E63" s="22">
        <v>474162</v>
      </c>
      <c r="F63" s="22">
        <v>9.1999999999999993</v>
      </c>
      <c r="G63" s="22">
        <v>47462</v>
      </c>
      <c r="H63" s="20" t="str">
        <f>IF(AND(A63&gt;='Campaign Data'!$B$2,'Engagment Summary'!A63&lt;='Campaign Data'!$C$2),"EndofSeasonSale",IF(AND(A63&gt;='Campaign Data'!$B$3,A63&lt;='Campaign Data'!$C$3),"FashionUpgrade",IF(AND(A63&gt;='Campaign Data'!$B$4,A63&lt;='Campaign Data'!$C$4),"MyntraFestiveEdit",IF(AND(A63&gt;='Campaign Data'!$B$5,A63&lt;='Campaign Data'!$C$5),"StyleRevolution","No Campaign"))))</f>
        <v>No Campaign</v>
      </c>
    </row>
    <row r="64" spans="1:8" x14ac:dyDescent="0.25">
      <c r="A64" s="27">
        <v>45551</v>
      </c>
      <c r="B64" s="19" t="s">
        <v>9</v>
      </c>
      <c r="C64" s="19">
        <v>1472</v>
      </c>
      <c r="D64" s="19">
        <v>347</v>
      </c>
      <c r="E64" s="19">
        <v>392355</v>
      </c>
      <c r="F64" s="19">
        <v>8.59</v>
      </c>
      <c r="G64" s="19">
        <v>30270</v>
      </c>
      <c r="H64" s="20" t="str">
        <f>IF(AND(A64&gt;='Campaign Data'!$B$2,'Engagment Summary'!A64&lt;='Campaign Data'!$C$2),"EndofSeasonSale",IF(AND(A64&gt;='Campaign Data'!$B$3,A64&lt;='Campaign Data'!$C$3),"FashionUpgrade",IF(AND(A64&gt;='Campaign Data'!$B$4,A64&lt;='Campaign Data'!$C$4),"MyntraFestiveEdit",IF(AND(A64&gt;='Campaign Data'!$B$5,A64&lt;='Campaign Data'!$C$5),"StyleRevolution","No Campaign"))))</f>
        <v>No Campaign</v>
      </c>
    </row>
    <row r="65" spans="1:8" x14ac:dyDescent="0.25">
      <c r="A65" s="28">
        <v>45551</v>
      </c>
      <c r="B65" s="22" t="s">
        <v>10</v>
      </c>
      <c r="C65" s="22">
        <v>123</v>
      </c>
      <c r="D65" s="22">
        <v>155</v>
      </c>
      <c r="E65" s="22">
        <v>119934</v>
      </c>
      <c r="F65" s="22">
        <v>3.5</v>
      </c>
      <c r="G65" s="22">
        <v>5442</v>
      </c>
      <c r="H65" s="20" t="str">
        <f>IF(AND(A65&gt;='Campaign Data'!$B$2,'Engagment Summary'!A65&lt;='Campaign Data'!$C$2),"EndofSeasonSale",IF(AND(A65&gt;='Campaign Data'!$B$3,A65&lt;='Campaign Data'!$C$3),"FashionUpgrade",IF(AND(A65&gt;='Campaign Data'!$B$4,A65&lt;='Campaign Data'!$C$4),"MyntraFestiveEdit",IF(AND(A65&gt;='Campaign Data'!$B$5,A65&lt;='Campaign Data'!$C$5),"StyleRevolution","No Campaign"))))</f>
        <v>No Campaign</v>
      </c>
    </row>
    <row r="66" spans="1:8" x14ac:dyDescent="0.25">
      <c r="A66" s="27">
        <v>45558</v>
      </c>
      <c r="B66" s="19" t="s">
        <v>7</v>
      </c>
      <c r="C66" s="19">
        <v>817</v>
      </c>
      <c r="D66" s="19">
        <v>151</v>
      </c>
      <c r="E66" s="19">
        <v>422625</v>
      </c>
      <c r="F66" s="19">
        <v>2.36</v>
      </c>
      <c r="G66" s="19">
        <v>1083</v>
      </c>
      <c r="H66" s="20" t="str">
        <f>IF(AND(A66&gt;='Campaign Data'!$B$2,'Engagment Summary'!A66&lt;='Campaign Data'!$C$2),"EndofSeasonSale",IF(AND(A66&gt;='Campaign Data'!$B$3,A66&lt;='Campaign Data'!$C$3),"FashionUpgrade",IF(AND(A66&gt;='Campaign Data'!$B$4,A66&lt;='Campaign Data'!$C$4),"MyntraFestiveEdit",IF(AND(A66&gt;='Campaign Data'!$B$5,A66&lt;='Campaign Data'!$C$5),"StyleRevolution","No Campaign"))))</f>
        <v>No Campaign</v>
      </c>
    </row>
    <row r="67" spans="1:8" x14ac:dyDescent="0.25">
      <c r="A67" s="28">
        <v>45558</v>
      </c>
      <c r="B67" s="22" t="s">
        <v>8</v>
      </c>
      <c r="C67" s="22">
        <v>198</v>
      </c>
      <c r="D67" s="22">
        <v>217</v>
      </c>
      <c r="E67" s="22">
        <v>239753</v>
      </c>
      <c r="F67" s="22">
        <v>7.36</v>
      </c>
      <c r="G67" s="22">
        <v>11901</v>
      </c>
      <c r="H67" s="20" t="str">
        <f>IF(AND(A67&gt;='Campaign Data'!$B$2,'Engagment Summary'!A67&lt;='Campaign Data'!$C$2),"EndofSeasonSale",IF(AND(A67&gt;='Campaign Data'!$B$3,A67&lt;='Campaign Data'!$C$3),"FashionUpgrade",IF(AND(A67&gt;='Campaign Data'!$B$4,A67&lt;='Campaign Data'!$C$4),"MyntraFestiveEdit",IF(AND(A67&gt;='Campaign Data'!$B$5,A67&lt;='Campaign Data'!$C$5),"StyleRevolution","No Campaign"))))</f>
        <v>No Campaign</v>
      </c>
    </row>
    <row r="68" spans="1:8" x14ac:dyDescent="0.25">
      <c r="A68" s="27">
        <v>45558</v>
      </c>
      <c r="B68" s="19" t="s">
        <v>9</v>
      </c>
      <c r="C68" s="19">
        <v>1911</v>
      </c>
      <c r="D68" s="19">
        <v>231</v>
      </c>
      <c r="E68" s="19">
        <v>268516</v>
      </c>
      <c r="F68" s="19">
        <v>8.5500000000000007</v>
      </c>
      <c r="G68" s="19">
        <v>24018</v>
      </c>
      <c r="H68" s="20" t="str">
        <f>IF(AND(A68&gt;='Campaign Data'!$B$2,'Engagment Summary'!A68&lt;='Campaign Data'!$C$2),"EndofSeasonSale",IF(AND(A68&gt;='Campaign Data'!$B$3,A68&lt;='Campaign Data'!$C$3),"FashionUpgrade",IF(AND(A68&gt;='Campaign Data'!$B$4,A68&lt;='Campaign Data'!$C$4),"MyntraFestiveEdit",IF(AND(A68&gt;='Campaign Data'!$B$5,A68&lt;='Campaign Data'!$C$5),"StyleRevolution","No Campaign"))))</f>
        <v>No Campaign</v>
      </c>
    </row>
    <row r="69" spans="1:8" x14ac:dyDescent="0.25">
      <c r="A69" s="28">
        <v>45558</v>
      </c>
      <c r="B69" s="22" t="s">
        <v>10</v>
      </c>
      <c r="C69" s="22">
        <v>1218</v>
      </c>
      <c r="D69" s="22">
        <v>212</v>
      </c>
      <c r="E69" s="22">
        <v>63177</v>
      </c>
      <c r="F69" s="22">
        <v>8.1300000000000008</v>
      </c>
      <c r="G69" s="22">
        <v>38883</v>
      </c>
      <c r="H69" s="20" t="str">
        <f>IF(AND(A69&gt;='Campaign Data'!$B$2,'Engagment Summary'!A69&lt;='Campaign Data'!$C$2),"EndofSeasonSale",IF(AND(A69&gt;='Campaign Data'!$B$3,A69&lt;='Campaign Data'!$C$3),"FashionUpgrade",IF(AND(A69&gt;='Campaign Data'!$B$4,A69&lt;='Campaign Data'!$C$4),"MyntraFestiveEdit",IF(AND(A69&gt;='Campaign Data'!$B$5,A69&lt;='Campaign Data'!$C$5),"StyleRevolution","No Campaign"))))</f>
        <v>No Campaign</v>
      </c>
    </row>
    <row r="70" spans="1:8" x14ac:dyDescent="0.25">
      <c r="A70" s="27">
        <v>45565</v>
      </c>
      <c r="B70" s="19" t="s">
        <v>7</v>
      </c>
      <c r="C70" s="19">
        <v>1433</v>
      </c>
      <c r="D70" s="19">
        <v>408</v>
      </c>
      <c r="E70" s="19">
        <v>370269</v>
      </c>
      <c r="F70" s="19">
        <v>3.3</v>
      </c>
      <c r="G70" s="19">
        <v>30575</v>
      </c>
      <c r="H70" s="20" t="str">
        <f>IF(AND(A70&gt;='Campaign Data'!$B$2,'Engagment Summary'!A70&lt;='Campaign Data'!$C$2),"EndofSeasonSale",IF(AND(A70&gt;='Campaign Data'!$B$3,A70&lt;='Campaign Data'!$C$3),"FashionUpgrade",IF(AND(A70&gt;='Campaign Data'!$B$4,A70&lt;='Campaign Data'!$C$4),"MyntraFestiveEdit",IF(AND(A70&gt;='Campaign Data'!$B$5,A70&lt;='Campaign Data'!$C$5),"StyleRevolution","No Campaign"))))</f>
        <v>No Campaign</v>
      </c>
    </row>
    <row r="71" spans="1:8" x14ac:dyDescent="0.25">
      <c r="A71" s="28">
        <v>45565</v>
      </c>
      <c r="B71" s="22" t="s">
        <v>8</v>
      </c>
      <c r="C71" s="22">
        <v>250</v>
      </c>
      <c r="D71" s="22">
        <v>429</v>
      </c>
      <c r="E71" s="22">
        <v>453423</v>
      </c>
      <c r="F71" s="22">
        <v>1.77</v>
      </c>
      <c r="G71" s="22">
        <v>2315</v>
      </c>
      <c r="H71" s="20" t="str">
        <f>IF(AND(A71&gt;='Campaign Data'!$B$2,'Engagment Summary'!A71&lt;='Campaign Data'!$C$2),"EndofSeasonSale",IF(AND(A71&gt;='Campaign Data'!$B$3,A71&lt;='Campaign Data'!$C$3),"FashionUpgrade",IF(AND(A71&gt;='Campaign Data'!$B$4,A71&lt;='Campaign Data'!$C$4),"MyntraFestiveEdit",IF(AND(A71&gt;='Campaign Data'!$B$5,A71&lt;='Campaign Data'!$C$5),"StyleRevolution","No Campaign"))))</f>
        <v>No Campaign</v>
      </c>
    </row>
    <row r="72" spans="1:8" x14ac:dyDescent="0.25">
      <c r="A72" s="27">
        <v>45565</v>
      </c>
      <c r="B72" s="19" t="s">
        <v>9</v>
      </c>
      <c r="C72" s="19">
        <v>752</v>
      </c>
      <c r="D72" s="19">
        <v>153</v>
      </c>
      <c r="E72" s="19">
        <v>64906</v>
      </c>
      <c r="F72" s="19">
        <v>2.09</v>
      </c>
      <c r="G72" s="19">
        <v>12148</v>
      </c>
      <c r="H72" s="20" t="str">
        <f>IF(AND(A72&gt;='Campaign Data'!$B$2,'Engagment Summary'!A72&lt;='Campaign Data'!$C$2),"EndofSeasonSale",IF(AND(A72&gt;='Campaign Data'!$B$3,A72&lt;='Campaign Data'!$C$3),"FashionUpgrade",IF(AND(A72&gt;='Campaign Data'!$B$4,A72&lt;='Campaign Data'!$C$4),"MyntraFestiveEdit",IF(AND(A72&gt;='Campaign Data'!$B$5,A72&lt;='Campaign Data'!$C$5),"StyleRevolution","No Campaign"))))</f>
        <v>No Campaign</v>
      </c>
    </row>
    <row r="73" spans="1:8" x14ac:dyDescent="0.25">
      <c r="A73" s="28">
        <v>45565</v>
      </c>
      <c r="B73" s="22" t="s">
        <v>10</v>
      </c>
      <c r="C73" s="22">
        <v>1918</v>
      </c>
      <c r="D73" s="22">
        <v>212</v>
      </c>
      <c r="E73" s="22">
        <v>94360</v>
      </c>
      <c r="F73" s="22">
        <v>7.36</v>
      </c>
      <c r="G73" s="22">
        <v>36851</v>
      </c>
      <c r="H73" s="20" t="str">
        <f>IF(AND(A73&gt;='Campaign Data'!$B$2,'Engagment Summary'!A73&lt;='Campaign Data'!$C$2),"EndofSeasonSale",IF(AND(A73&gt;='Campaign Data'!$B$3,A73&lt;='Campaign Data'!$C$3),"FashionUpgrade",IF(AND(A73&gt;='Campaign Data'!$B$4,A73&lt;='Campaign Data'!$C$4),"MyntraFestiveEdit",IF(AND(A73&gt;='Campaign Data'!$B$5,A73&lt;='Campaign Data'!$C$5),"StyleRevolution","No Campaign"))))</f>
        <v>No Campaign</v>
      </c>
    </row>
    <row r="74" spans="1:8" x14ac:dyDescent="0.25">
      <c r="A74" s="27">
        <v>45572</v>
      </c>
      <c r="B74" s="19" t="s">
        <v>7</v>
      </c>
      <c r="C74" s="19">
        <v>1939</v>
      </c>
      <c r="D74" s="19">
        <v>67</v>
      </c>
      <c r="E74" s="19">
        <v>187183</v>
      </c>
      <c r="F74" s="19">
        <v>6.25</v>
      </c>
      <c r="G74" s="19">
        <v>41215</v>
      </c>
      <c r="H74" s="20" t="str">
        <f>IF(AND(A74&gt;='Campaign Data'!$B$2,'Engagment Summary'!A74&lt;='Campaign Data'!$C$2),"EndofSeasonSale",IF(AND(A74&gt;='Campaign Data'!$B$3,A74&lt;='Campaign Data'!$C$3),"FashionUpgrade",IF(AND(A74&gt;='Campaign Data'!$B$4,A74&lt;='Campaign Data'!$C$4),"MyntraFestiveEdit",IF(AND(A74&gt;='Campaign Data'!$B$5,A74&lt;='Campaign Data'!$C$5),"StyleRevolution","No Campaign"))))</f>
        <v>MyntraFestiveEdit</v>
      </c>
    </row>
    <row r="75" spans="1:8" x14ac:dyDescent="0.25">
      <c r="A75" s="28">
        <v>45572</v>
      </c>
      <c r="B75" s="22" t="s">
        <v>8</v>
      </c>
      <c r="C75" s="22">
        <v>1929</v>
      </c>
      <c r="D75" s="22">
        <v>267</v>
      </c>
      <c r="E75" s="22">
        <v>379363</v>
      </c>
      <c r="F75" s="22">
        <v>1.75</v>
      </c>
      <c r="G75" s="22">
        <v>43836</v>
      </c>
      <c r="H75" s="20" t="str">
        <f>IF(AND(A75&gt;='Campaign Data'!$B$2,'Engagment Summary'!A75&lt;='Campaign Data'!$C$2),"EndofSeasonSale",IF(AND(A75&gt;='Campaign Data'!$B$3,A75&lt;='Campaign Data'!$C$3),"FashionUpgrade",IF(AND(A75&gt;='Campaign Data'!$B$4,A75&lt;='Campaign Data'!$C$4),"MyntraFestiveEdit",IF(AND(A75&gt;='Campaign Data'!$B$5,A75&lt;='Campaign Data'!$C$5),"StyleRevolution","No Campaign"))))</f>
        <v>MyntraFestiveEdit</v>
      </c>
    </row>
    <row r="76" spans="1:8" x14ac:dyDescent="0.25">
      <c r="A76" s="27">
        <v>45572</v>
      </c>
      <c r="B76" s="19" t="s">
        <v>9</v>
      </c>
      <c r="C76" s="19">
        <v>437</v>
      </c>
      <c r="D76" s="19">
        <v>330</v>
      </c>
      <c r="E76" s="19">
        <v>476486</v>
      </c>
      <c r="F76" s="19">
        <v>4.97</v>
      </c>
      <c r="G76" s="19">
        <v>4509</v>
      </c>
      <c r="H76" s="20" t="str">
        <f>IF(AND(A76&gt;='Campaign Data'!$B$2,'Engagment Summary'!A76&lt;='Campaign Data'!$C$2),"EndofSeasonSale",IF(AND(A76&gt;='Campaign Data'!$B$3,A76&lt;='Campaign Data'!$C$3),"FashionUpgrade",IF(AND(A76&gt;='Campaign Data'!$B$4,A76&lt;='Campaign Data'!$C$4),"MyntraFestiveEdit",IF(AND(A76&gt;='Campaign Data'!$B$5,A76&lt;='Campaign Data'!$C$5),"StyleRevolution","No Campaign"))))</f>
        <v>MyntraFestiveEdit</v>
      </c>
    </row>
    <row r="77" spans="1:8" x14ac:dyDescent="0.25">
      <c r="A77" s="28">
        <v>45572</v>
      </c>
      <c r="B77" s="22" t="s">
        <v>10</v>
      </c>
      <c r="C77" s="22">
        <v>307</v>
      </c>
      <c r="D77" s="22">
        <v>189</v>
      </c>
      <c r="E77" s="22">
        <v>117767</v>
      </c>
      <c r="F77" s="22">
        <v>9.3000000000000007</v>
      </c>
      <c r="G77" s="22">
        <v>27822</v>
      </c>
      <c r="H77" s="20" t="str">
        <f>IF(AND(A77&gt;='Campaign Data'!$B$2,'Engagment Summary'!A77&lt;='Campaign Data'!$C$2),"EndofSeasonSale",IF(AND(A77&gt;='Campaign Data'!$B$3,A77&lt;='Campaign Data'!$C$3),"FashionUpgrade",IF(AND(A77&gt;='Campaign Data'!$B$4,A77&lt;='Campaign Data'!$C$4),"MyntraFestiveEdit",IF(AND(A77&gt;='Campaign Data'!$B$5,A77&lt;='Campaign Data'!$C$5),"StyleRevolution","No Campaign"))))</f>
        <v>MyntraFestiveEdit</v>
      </c>
    </row>
    <row r="78" spans="1:8" x14ac:dyDescent="0.25">
      <c r="A78" s="27">
        <v>45579</v>
      </c>
      <c r="B78" s="19" t="s">
        <v>7</v>
      </c>
      <c r="C78" s="19">
        <v>1527</v>
      </c>
      <c r="D78" s="19">
        <v>303</v>
      </c>
      <c r="E78" s="19">
        <v>388555</v>
      </c>
      <c r="F78" s="19">
        <v>8.9</v>
      </c>
      <c r="G78" s="19">
        <v>36397</v>
      </c>
      <c r="H78" s="20" t="str">
        <f>IF(AND(A78&gt;='Campaign Data'!$B$2,'Engagment Summary'!A78&lt;='Campaign Data'!$C$2),"EndofSeasonSale",IF(AND(A78&gt;='Campaign Data'!$B$3,A78&lt;='Campaign Data'!$C$3),"FashionUpgrade",IF(AND(A78&gt;='Campaign Data'!$B$4,A78&lt;='Campaign Data'!$C$4),"MyntraFestiveEdit",IF(AND(A78&gt;='Campaign Data'!$B$5,A78&lt;='Campaign Data'!$C$5),"StyleRevolution","No Campaign"))))</f>
        <v>MyntraFestiveEdit</v>
      </c>
    </row>
    <row r="79" spans="1:8" x14ac:dyDescent="0.25">
      <c r="A79" s="28">
        <v>45579</v>
      </c>
      <c r="B79" s="22" t="s">
        <v>8</v>
      </c>
      <c r="C79" s="22">
        <v>643</v>
      </c>
      <c r="D79" s="22">
        <v>358</v>
      </c>
      <c r="E79" s="22">
        <v>157599</v>
      </c>
      <c r="F79" s="22">
        <v>3.88</v>
      </c>
      <c r="G79" s="22">
        <v>7285</v>
      </c>
      <c r="H79" s="20" t="str">
        <f>IF(AND(A79&gt;='Campaign Data'!$B$2,'Engagment Summary'!A79&lt;='Campaign Data'!$C$2),"EndofSeasonSale",IF(AND(A79&gt;='Campaign Data'!$B$3,A79&lt;='Campaign Data'!$C$3),"FashionUpgrade",IF(AND(A79&gt;='Campaign Data'!$B$4,A79&lt;='Campaign Data'!$C$4),"MyntraFestiveEdit",IF(AND(A79&gt;='Campaign Data'!$B$5,A79&lt;='Campaign Data'!$C$5),"StyleRevolution","No Campaign"))))</f>
        <v>MyntraFestiveEdit</v>
      </c>
    </row>
    <row r="80" spans="1:8" x14ac:dyDescent="0.25">
      <c r="A80" s="27">
        <v>45579</v>
      </c>
      <c r="B80" s="19" t="s">
        <v>9</v>
      </c>
      <c r="C80" s="19">
        <v>201</v>
      </c>
      <c r="D80" s="19">
        <v>221</v>
      </c>
      <c r="E80" s="19">
        <v>309772</v>
      </c>
      <c r="F80" s="19">
        <v>5.9</v>
      </c>
      <c r="G80" s="19">
        <v>33174</v>
      </c>
      <c r="H80" s="20" t="str">
        <f>IF(AND(A80&gt;='Campaign Data'!$B$2,'Engagment Summary'!A80&lt;='Campaign Data'!$C$2),"EndofSeasonSale",IF(AND(A80&gt;='Campaign Data'!$B$3,A80&lt;='Campaign Data'!$C$3),"FashionUpgrade",IF(AND(A80&gt;='Campaign Data'!$B$4,A80&lt;='Campaign Data'!$C$4),"MyntraFestiveEdit",IF(AND(A80&gt;='Campaign Data'!$B$5,A80&lt;='Campaign Data'!$C$5),"StyleRevolution","No Campaign"))))</f>
        <v>MyntraFestiveEdit</v>
      </c>
    </row>
    <row r="81" spans="1:8" x14ac:dyDescent="0.25">
      <c r="A81" s="28">
        <v>45579</v>
      </c>
      <c r="B81" s="22" t="s">
        <v>10</v>
      </c>
      <c r="C81" s="22">
        <v>414</v>
      </c>
      <c r="D81" s="22">
        <v>47</v>
      </c>
      <c r="E81" s="22">
        <v>199178</v>
      </c>
      <c r="F81" s="22">
        <v>1.53</v>
      </c>
      <c r="G81" s="22">
        <v>6742</v>
      </c>
      <c r="H81" s="20" t="str">
        <f>IF(AND(A81&gt;='Campaign Data'!$B$2,'Engagment Summary'!A81&lt;='Campaign Data'!$C$2),"EndofSeasonSale",IF(AND(A81&gt;='Campaign Data'!$B$3,A81&lt;='Campaign Data'!$C$3),"FashionUpgrade",IF(AND(A81&gt;='Campaign Data'!$B$4,A81&lt;='Campaign Data'!$C$4),"MyntraFestiveEdit",IF(AND(A81&gt;='Campaign Data'!$B$5,A81&lt;='Campaign Data'!$C$5),"StyleRevolution","No Campaign"))))</f>
        <v>MyntraFestiveEdit</v>
      </c>
    </row>
    <row r="82" spans="1:8" x14ac:dyDescent="0.25">
      <c r="A82" s="27">
        <v>45586</v>
      </c>
      <c r="B82" s="19" t="s">
        <v>7</v>
      </c>
      <c r="C82" s="19">
        <v>703</v>
      </c>
      <c r="D82" s="19">
        <v>441</v>
      </c>
      <c r="E82" s="19">
        <v>357089</v>
      </c>
      <c r="F82" s="19">
        <v>6.5</v>
      </c>
      <c r="G82" s="19">
        <v>32478</v>
      </c>
      <c r="H82" s="20" t="str">
        <f>IF(AND(A82&gt;='Campaign Data'!$B$2,'Engagment Summary'!A82&lt;='Campaign Data'!$C$2),"EndofSeasonSale",IF(AND(A82&gt;='Campaign Data'!$B$3,A82&lt;='Campaign Data'!$C$3),"FashionUpgrade",IF(AND(A82&gt;='Campaign Data'!$B$4,A82&lt;='Campaign Data'!$C$4),"MyntraFestiveEdit",IF(AND(A82&gt;='Campaign Data'!$B$5,A82&lt;='Campaign Data'!$C$5),"StyleRevolution","No Campaign"))))</f>
        <v>MyntraFestiveEdit</v>
      </c>
    </row>
    <row r="83" spans="1:8" x14ac:dyDescent="0.25">
      <c r="A83" s="28">
        <v>45586</v>
      </c>
      <c r="B83" s="22" t="s">
        <v>8</v>
      </c>
      <c r="C83" s="22">
        <v>508</v>
      </c>
      <c r="D83" s="22">
        <v>69</v>
      </c>
      <c r="E83" s="22">
        <v>23492</v>
      </c>
      <c r="F83" s="22">
        <v>3.16</v>
      </c>
      <c r="G83" s="22">
        <v>42824</v>
      </c>
      <c r="H83" s="20" t="str">
        <f>IF(AND(A83&gt;='Campaign Data'!$B$2,'Engagment Summary'!A83&lt;='Campaign Data'!$C$2),"EndofSeasonSale",IF(AND(A83&gt;='Campaign Data'!$B$3,A83&lt;='Campaign Data'!$C$3),"FashionUpgrade",IF(AND(A83&gt;='Campaign Data'!$B$4,A83&lt;='Campaign Data'!$C$4),"MyntraFestiveEdit",IF(AND(A83&gt;='Campaign Data'!$B$5,A83&lt;='Campaign Data'!$C$5),"StyleRevolution","No Campaign"))))</f>
        <v>MyntraFestiveEdit</v>
      </c>
    </row>
    <row r="84" spans="1:8" x14ac:dyDescent="0.25">
      <c r="A84" s="27">
        <v>45586</v>
      </c>
      <c r="B84" s="19" t="s">
        <v>9</v>
      </c>
      <c r="C84" s="19">
        <v>697</v>
      </c>
      <c r="D84" s="19">
        <v>61</v>
      </c>
      <c r="E84" s="19">
        <v>258287</v>
      </c>
      <c r="F84" s="19">
        <v>8.25</v>
      </c>
      <c r="G84" s="19">
        <v>21208</v>
      </c>
      <c r="H84" s="20" t="str">
        <f>IF(AND(A84&gt;='Campaign Data'!$B$2,'Engagment Summary'!A84&lt;='Campaign Data'!$C$2),"EndofSeasonSale",IF(AND(A84&gt;='Campaign Data'!$B$3,A84&lt;='Campaign Data'!$C$3),"FashionUpgrade",IF(AND(A84&gt;='Campaign Data'!$B$4,A84&lt;='Campaign Data'!$C$4),"MyntraFestiveEdit",IF(AND(A84&gt;='Campaign Data'!$B$5,A84&lt;='Campaign Data'!$C$5),"StyleRevolution","No Campaign"))))</f>
        <v>MyntraFestiveEdit</v>
      </c>
    </row>
    <row r="85" spans="1:8" x14ac:dyDescent="0.25">
      <c r="A85" s="28">
        <v>45586</v>
      </c>
      <c r="B85" s="22" t="s">
        <v>10</v>
      </c>
      <c r="C85" s="22">
        <v>1707</v>
      </c>
      <c r="D85" s="22">
        <v>223</v>
      </c>
      <c r="E85" s="22">
        <v>256910</v>
      </c>
      <c r="F85" s="22">
        <v>5.41</v>
      </c>
      <c r="G85" s="22">
        <v>44321</v>
      </c>
      <c r="H85" s="20" t="str">
        <f>IF(AND(A85&gt;='Campaign Data'!$B$2,'Engagment Summary'!A85&lt;='Campaign Data'!$C$2),"EndofSeasonSale",IF(AND(A85&gt;='Campaign Data'!$B$3,A85&lt;='Campaign Data'!$C$3),"FashionUpgrade",IF(AND(A85&gt;='Campaign Data'!$B$4,A85&lt;='Campaign Data'!$C$4),"MyntraFestiveEdit",IF(AND(A85&gt;='Campaign Data'!$B$5,A85&lt;='Campaign Data'!$C$5),"StyleRevolution","No Campaign"))))</f>
        <v>MyntraFestiveEdit</v>
      </c>
    </row>
    <row r="86" spans="1:8" x14ac:dyDescent="0.25">
      <c r="A86" s="27">
        <v>45593</v>
      </c>
      <c r="B86" s="19" t="s">
        <v>7</v>
      </c>
      <c r="C86" s="19">
        <v>642</v>
      </c>
      <c r="D86" s="19">
        <v>66</v>
      </c>
      <c r="E86" s="19">
        <v>346522</v>
      </c>
      <c r="F86" s="19">
        <v>5.85</v>
      </c>
      <c r="G86" s="19">
        <v>13116</v>
      </c>
      <c r="H86" s="20" t="str">
        <f>IF(AND(A86&gt;='Campaign Data'!$B$2,'Engagment Summary'!A86&lt;='Campaign Data'!$C$2),"EndofSeasonSale",IF(AND(A86&gt;='Campaign Data'!$B$3,A86&lt;='Campaign Data'!$C$3),"FashionUpgrade",IF(AND(A86&gt;='Campaign Data'!$B$4,A86&lt;='Campaign Data'!$C$4),"MyntraFestiveEdit",IF(AND(A86&gt;='Campaign Data'!$B$5,A86&lt;='Campaign Data'!$C$5),"StyleRevolution","No Campaign"))))</f>
        <v>MyntraFestiveEdit</v>
      </c>
    </row>
    <row r="87" spans="1:8" x14ac:dyDescent="0.25">
      <c r="A87" s="28">
        <v>45593</v>
      </c>
      <c r="B87" s="22" t="s">
        <v>8</v>
      </c>
      <c r="C87" s="22">
        <v>859</v>
      </c>
      <c r="D87" s="22">
        <v>473</v>
      </c>
      <c r="E87" s="22">
        <v>209987</v>
      </c>
      <c r="F87" s="22">
        <v>4.46</v>
      </c>
      <c r="G87" s="22">
        <v>30214</v>
      </c>
      <c r="H87" s="20" t="str">
        <f>IF(AND(A87&gt;='Campaign Data'!$B$2,'Engagment Summary'!A87&lt;='Campaign Data'!$C$2),"EndofSeasonSale",IF(AND(A87&gt;='Campaign Data'!$B$3,A87&lt;='Campaign Data'!$C$3),"FashionUpgrade",IF(AND(A87&gt;='Campaign Data'!$B$4,A87&lt;='Campaign Data'!$C$4),"MyntraFestiveEdit",IF(AND(A87&gt;='Campaign Data'!$B$5,A87&lt;='Campaign Data'!$C$5),"StyleRevolution","No Campaign"))))</f>
        <v>MyntraFestiveEdit</v>
      </c>
    </row>
    <row r="88" spans="1:8" x14ac:dyDescent="0.25">
      <c r="A88" s="27">
        <v>45593</v>
      </c>
      <c r="B88" s="19" t="s">
        <v>9</v>
      </c>
      <c r="C88" s="19">
        <v>191</v>
      </c>
      <c r="D88" s="19">
        <v>154</v>
      </c>
      <c r="E88" s="19">
        <v>240550</v>
      </c>
      <c r="F88" s="19">
        <v>5.22</v>
      </c>
      <c r="G88" s="19">
        <v>15827</v>
      </c>
      <c r="H88" s="20" t="str">
        <f>IF(AND(A88&gt;='Campaign Data'!$B$2,'Engagment Summary'!A88&lt;='Campaign Data'!$C$2),"EndofSeasonSale",IF(AND(A88&gt;='Campaign Data'!$B$3,A88&lt;='Campaign Data'!$C$3),"FashionUpgrade",IF(AND(A88&gt;='Campaign Data'!$B$4,A88&lt;='Campaign Data'!$C$4),"MyntraFestiveEdit",IF(AND(A88&gt;='Campaign Data'!$B$5,A88&lt;='Campaign Data'!$C$5),"StyleRevolution","No Campaign"))))</f>
        <v>MyntraFestiveEdit</v>
      </c>
    </row>
    <row r="89" spans="1:8" x14ac:dyDescent="0.25">
      <c r="A89" s="28">
        <v>45593</v>
      </c>
      <c r="B89" s="22" t="s">
        <v>10</v>
      </c>
      <c r="C89" s="22">
        <v>1814</v>
      </c>
      <c r="D89" s="22">
        <v>157</v>
      </c>
      <c r="E89" s="22">
        <v>305827</v>
      </c>
      <c r="F89" s="22">
        <v>1.99</v>
      </c>
      <c r="G89" s="22">
        <v>46643</v>
      </c>
      <c r="H89" s="20" t="str">
        <f>IF(AND(A89&gt;='Campaign Data'!$B$2,'Engagment Summary'!A89&lt;='Campaign Data'!$C$2),"EndofSeasonSale",IF(AND(A89&gt;='Campaign Data'!$B$3,A89&lt;='Campaign Data'!$C$3),"FashionUpgrade",IF(AND(A89&gt;='Campaign Data'!$B$4,A89&lt;='Campaign Data'!$C$4),"MyntraFestiveEdit",IF(AND(A89&gt;='Campaign Data'!$B$5,A89&lt;='Campaign Data'!$C$5),"StyleRevolution","No Campaign"))))</f>
        <v>MyntraFestiveEdit</v>
      </c>
    </row>
    <row r="90" spans="1:8" x14ac:dyDescent="0.25">
      <c r="A90" s="27">
        <v>45600</v>
      </c>
      <c r="B90" s="19" t="s">
        <v>7</v>
      </c>
      <c r="C90" s="19">
        <v>1466</v>
      </c>
      <c r="D90" s="19">
        <v>69</v>
      </c>
      <c r="E90" s="19">
        <v>54935</v>
      </c>
      <c r="F90" s="19">
        <v>6.85</v>
      </c>
      <c r="G90" s="19">
        <v>36484</v>
      </c>
      <c r="H90" s="20" t="str">
        <f>IF(AND(A90&gt;='Campaign Data'!$B$2,'Engagment Summary'!A90&lt;='Campaign Data'!$C$2),"EndofSeasonSale",IF(AND(A90&gt;='Campaign Data'!$B$3,A90&lt;='Campaign Data'!$C$3),"FashionUpgrade",IF(AND(A90&gt;='Campaign Data'!$B$4,A90&lt;='Campaign Data'!$C$4),"MyntraFestiveEdit",IF(AND(A90&gt;='Campaign Data'!$B$5,A90&lt;='Campaign Data'!$C$5),"StyleRevolution","No Campaign"))))</f>
        <v>MyntraFestiveEdit</v>
      </c>
    </row>
    <row r="91" spans="1:8" x14ac:dyDescent="0.25">
      <c r="A91" s="28">
        <v>45600</v>
      </c>
      <c r="B91" s="22" t="s">
        <v>8</v>
      </c>
      <c r="C91" s="22">
        <v>947</v>
      </c>
      <c r="D91" s="22">
        <v>407</v>
      </c>
      <c r="E91" s="22">
        <v>319186</v>
      </c>
      <c r="F91" s="22">
        <v>3.32</v>
      </c>
      <c r="G91" s="22">
        <v>4996</v>
      </c>
      <c r="H91" s="20" t="str">
        <f>IF(AND(A91&gt;='Campaign Data'!$B$2,'Engagment Summary'!A91&lt;='Campaign Data'!$C$2),"EndofSeasonSale",IF(AND(A91&gt;='Campaign Data'!$B$3,A91&lt;='Campaign Data'!$C$3),"FashionUpgrade",IF(AND(A91&gt;='Campaign Data'!$B$4,A91&lt;='Campaign Data'!$C$4),"MyntraFestiveEdit",IF(AND(A91&gt;='Campaign Data'!$B$5,A91&lt;='Campaign Data'!$C$5),"StyleRevolution","No Campaign"))))</f>
        <v>MyntraFestiveEdit</v>
      </c>
    </row>
    <row r="92" spans="1:8" x14ac:dyDescent="0.25">
      <c r="A92" s="27">
        <v>45600</v>
      </c>
      <c r="B92" s="19" t="s">
        <v>9</v>
      </c>
      <c r="C92" s="19">
        <v>1821</v>
      </c>
      <c r="D92" s="19">
        <v>218</v>
      </c>
      <c r="E92" s="19">
        <v>439080</v>
      </c>
      <c r="F92" s="19">
        <v>5.68</v>
      </c>
      <c r="G92" s="19">
        <v>36095</v>
      </c>
      <c r="H92" s="20" t="str">
        <f>IF(AND(A92&gt;='Campaign Data'!$B$2,'Engagment Summary'!A92&lt;='Campaign Data'!$C$2),"EndofSeasonSale",IF(AND(A92&gt;='Campaign Data'!$B$3,A92&lt;='Campaign Data'!$C$3),"FashionUpgrade",IF(AND(A92&gt;='Campaign Data'!$B$4,A92&lt;='Campaign Data'!$C$4),"MyntraFestiveEdit",IF(AND(A92&gt;='Campaign Data'!$B$5,A92&lt;='Campaign Data'!$C$5),"StyleRevolution","No Campaign"))))</f>
        <v>MyntraFestiveEdit</v>
      </c>
    </row>
    <row r="93" spans="1:8" x14ac:dyDescent="0.25">
      <c r="A93" s="28">
        <v>45600</v>
      </c>
      <c r="B93" s="22" t="s">
        <v>10</v>
      </c>
      <c r="C93" s="22">
        <v>1507</v>
      </c>
      <c r="D93" s="22">
        <v>463</v>
      </c>
      <c r="E93" s="22">
        <v>258944</v>
      </c>
      <c r="F93" s="22">
        <v>6.08</v>
      </c>
      <c r="G93" s="22">
        <v>16443</v>
      </c>
      <c r="H93" s="20" t="str">
        <f>IF(AND(A93&gt;='Campaign Data'!$B$2,'Engagment Summary'!A93&lt;='Campaign Data'!$C$2),"EndofSeasonSale",IF(AND(A93&gt;='Campaign Data'!$B$3,A93&lt;='Campaign Data'!$C$3),"FashionUpgrade",IF(AND(A93&gt;='Campaign Data'!$B$4,A93&lt;='Campaign Data'!$C$4),"MyntraFestiveEdit",IF(AND(A93&gt;='Campaign Data'!$B$5,A93&lt;='Campaign Data'!$C$5),"StyleRevolution","No Campaign"))))</f>
        <v>MyntraFestiveEdit</v>
      </c>
    </row>
    <row r="94" spans="1:8" x14ac:dyDescent="0.25">
      <c r="A94" s="27">
        <v>45607</v>
      </c>
      <c r="B94" s="19" t="s">
        <v>7</v>
      </c>
      <c r="C94" s="19">
        <v>1075</v>
      </c>
      <c r="D94" s="19">
        <v>173</v>
      </c>
      <c r="E94" s="19">
        <v>51395</v>
      </c>
      <c r="F94" s="19">
        <v>4.66</v>
      </c>
      <c r="G94" s="19">
        <v>47812</v>
      </c>
      <c r="H94" s="20" t="str">
        <f>IF(AND(A94&gt;='Campaign Data'!$B$2,'Engagment Summary'!A94&lt;='Campaign Data'!$C$2),"EndofSeasonSale",IF(AND(A94&gt;='Campaign Data'!$B$3,A94&lt;='Campaign Data'!$C$3),"FashionUpgrade",IF(AND(A94&gt;='Campaign Data'!$B$4,A94&lt;='Campaign Data'!$C$4),"MyntraFestiveEdit",IF(AND(A94&gt;='Campaign Data'!$B$5,A94&lt;='Campaign Data'!$C$5),"StyleRevolution","No Campaign"))))</f>
        <v>No Campaign</v>
      </c>
    </row>
    <row r="95" spans="1:8" x14ac:dyDescent="0.25">
      <c r="A95" s="28">
        <v>45607</v>
      </c>
      <c r="B95" s="22" t="s">
        <v>8</v>
      </c>
      <c r="C95" s="22">
        <v>171</v>
      </c>
      <c r="D95" s="22">
        <v>277</v>
      </c>
      <c r="E95" s="22">
        <v>309483</v>
      </c>
      <c r="F95" s="22">
        <v>8.6999999999999993</v>
      </c>
      <c r="G95" s="22">
        <v>38452</v>
      </c>
      <c r="H95" s="20" t="str">
        <f>IF(AND(A95&gt;='Campaign Data'!$B$2,'Engagment Summary'!A95&lt;='Campaign Data'!$C$2),"EndofSeasonSale",IF(AND(A95&gt;='Campaign Data'!$B$3,A95&lt;='Campaign Data'!$C$3),"FashionUpgrade",IF(AND(A95&gt;='Campaign Data'!$B$4,A95&lt;='Campaign Data'!$C$4),"MyntraFestiveEdit",IF(AND(A95&gt;='Campaign Data'!$B$5,A95&lt;='Campaign Data'!$C$5),"StyleRevolution","No Campaign"))))</f>
        <v>No Campaign</v>
      </c>
    </row>
    <row r="96" spans="1:8" x14ac:dyDescent="0.25">
      <c r="A96" s="27">
        <v>45607</v>
      </c>
      <c r="B96" s="19" t="s">
        <v>9</v>
      </c>
      <c r="C96" s="19">
        <v>1487</v>
      </c>
      <c r="D96" s="19">
        <v>337</v>
      </c>
      <c r="E96" s="19">
        <v>87305</v>
      </c>
      <c r="F96" s="19">
        <v>2.46</v>
      </c>
      <c r="G96" s="19">
        <v>30428</v>
      </c>
      <c r="H96" s="20" t="str">
        <f>IF(AND(A96&gt;='Campaign Data'!$B$2,'Engagment Summary'!A96&lt;='Campaign Data'!$C$2),"EndofSeasonSale",IF(AND(A96&gt;='Campaign Data'!$B$3,A96&lt;='Campaign Data'!$C$3),"FashionUpgrade",IF(AND(A96&gt;='Campaign Data'!$B$4,A96&lt;='Campaign Data'!$C$4),"MyntraFestiveEdit",IF(AND(A96&gt;='Campaign Data'!$B$5,A96&lt;='Campaign Data'!$C$5),"StyleRevolution","No Campaign"))))</f>
        <v>No Campaign</v>
      </c>
    </row>
    <row r="97" spans="1:8" x14ac:dyDescent="0.25">
      <c r="A97" s="28">
        <v>45607</v>
      </c>
      <c r="B97" s="22" t="s">
        <v>10</v>
      </c>
      <c r="C97" s="22">
        <v>454</v>
      </c>
      <c r="D97" s="22">
        <v>105</v>
      </c>
      <c r="E97" s="22">
        <v>121091</v>
      </c>
      <c r="F97" s="22">
        <v>7.97</v>
      </c>
      <c r="G97" s="22">
        <v>9269</v>
      </c>
      <c r="H97" s="20" t="str">
        <f>IF(AND(A97&gt;='Campaign Data'!$B$2,'Engagment Summary'!A97&lt;='Campaign Data'!$C$2),"EndofSeasonSale",IF(AND(A97&gt;='Campaign Data'!$B$3,A97&lt;='Campaign Data'!$C$3),"FashionUpgrade",IF(AND(A97&gt;='Campaign Data'!$B$4,A97&lt;='Campaign Data'!$C$4),"MyntraFestiveEdit",IF(AND(A97&gt;='Campaign Data'!$B$5,A97&lt;='Campaign Data'!$C$5),"StyleRevolution","No Campaign"))))</f>
        <v>No Campaign</v>
      </c>
    </row>
    <row r="98" spans="1:8" x14ac:dyDescent="0.25">
      <c r="A98" s="27">
        <v>45614</v>
      </c>
      <c r="B98" s="19" t="s">
        <v>7</v>
      </c>
      <c r="C98" s="19">
        <v>187</v>
      </c>
      <c r="D98" s="19">
        <v>236</v>
      </c>
      <c r="E98" s="19">
        <v>51087</v>
      </c>
      <c r="F98" s="19">
        <v>9.41</v>
      </c>
      <c r="G98" s="19">
        <v>29533</v>
      </c>
      <c r="H98" s="20" t="str">
        <f>IF(AND(A98&gt;='Campaign Data'!$B$2,'Engagment Summary'!A98&lt;='Campaign Data'!$C$2),"EndofSeasonSale",IF(AND(A98&gt;='Campaign Data'!$B$3,A98&lt;='Campaign Data'!$C$3),"FashionUpgrade",IF(AND(A98&gt;='Campaign Data'!$B$4,A98&lt;='Campaign Data'!$C$4),"MyntraFestiveEdit",IF(AND(A98&gt;='Campaign Data'!$B$5,A98&lt;='Campaign Data'!$C$5),"StyleRevolution","No Campaign"))))</f>
        <v>No Campaign</v>
      </c>
    </row>
    <row r="99" spans="1:8" x14ac:dyDescent="0.25">
      <c r="A99" s="28">
        <v>45614</v>
      </c>
      <c r="B99" s="22" t="s">
        <v>8</v>
      </c>
      <c r="C99" s="22">
        <v>513</v>
      </c>
      <c r="D99" s="22">
        <v>441</v>
      </c>
      <c r="E99" s="22">
        <v>338847</v>
      </c>
      <c r="F99" s="22">
        <v>2.68</v>
      </c>
      <c r="G99" s="22">
        <v>39997</v>
      </c>
      <c r="H99" s="20" t="str">
        <f>IF(AND(A99&gt;='Campaign Data'!$B$2,'Engagment Summary'!A99&lt;='Campaign Data'!$C$2),"EndofSeasonSale",IF(AND(A99&gt;='Campaign Data'!$B$3,A99&lt;='Campaign Data'!$C$3),"FashionUpgrade",IF(AND(A99&gt;='Campaign Data'!$B$4,A99&lt;='Campaign Data'!$C$4),"MyntraFestiveEdit",IF(AND(A99&gt;='Campaign Data'!$B$5,A99&lt;='Campaign Data'!$C$5),"StyleRevolution","No Campaign"))))</f>
        <v>No Campaign</v>
      </c>
    </row>
    <row r="100" spans="1:8" x14ac:dyDescent="0.25">
      <c r="A100" s="27">
        <v>45614</v>
      </c>
      <c r="B100" s="19" t="s">
        <v>9</v>
      </c>
      <c r="C100" s="19">
        <v>628</v>
      </c>
      <c r="D100" s="19">
        <v>183</v>
      </c>
      <c r="E100" s="19">
        <v>487523</v>
      </c>
      <c r="F100" s="19">
        <v>7.32</v>
      </c>
      <c r="G100" s="19">
        <v>5391</v>
      </c>
      <c r="H100" s="20" t="str">
        <f>IF(AND(A100&gt;='Campaign Data'!$B$2,'Engagment Summary'!A100&lt;='Campaign Data'!$C$2),"EndofSeasonSale",IF(AND(A100&gt;='Campaign Data'!$B$3,A100&lt;='Campaign Data'!$C$3),"FashionUpgrade",IF(AND(A100&gt;='Campaign Data'!$B$4,A100&lt;='Campaign Data'!$C$4),"MyntraFestiveEdit",IF(AND(A100&gt;='Campaign Data'!$B$5,A100&lt;='Campaign Data'!$C$5),"StyleRevolution","No Campaign"))))</f>
        <v>No Campaign</v>
      </c>
    </row>
    <row r="101" spans="1:8" x14ac:dyDescent="0.25">
      <c r="A101" s="28">
        <v>45614</v>
      </c>
      <c r="B101" s="22" t="s">
        <v>10</v>
      </c>
      <c r="C101" s="22">
        <v>278</v>
      </c>
      <c r="D101" s="22">
        <v>218</v>
      </c>
      <c r="E101" s="22">
        <v>301695</v>
      </c>
      <c r="F101" s="22">
        <v>4.68</v>
      </c>
      <c r="G101" s="22">
        <v>22373</v>
      </c>
      <c r="H101" s="20" t="str">
        <f>IF(AND(A101&gt;='Campaign Data'!$B$2,'Engagment Summary'!A101&lt;='Campaign Data'!$C$2),"EndofSeasonSale",IF(AND(A101&gt;='Campaign Data'!$B$3,A101&lt;='Campaign Data'!$C$3),"FashionUpgrade",IF(AND(A101&gt;='Campaign Data'!$B$4,A101&lt;='Campaign Data'!$C$4),"MyntraFestiveEdit",IF(AND(A101&gt;='Campaign Data'!$B$5,A101&lt;='Campaign Data'!$C$5),"StyleRevolution","No Campaign"))))</f>
        <v>No Campaign</v>
      </c>
    </row>
    <row r="102" spans="1:8" x14ac:dyDescent="0.25">
      <c r="A102" s="27">
        <v>45621</v>
      </c>
      <c r="B102" s="19" t="s">
        <v>7</v>
      </c>
      <c r="C102" s="19">
        <v>1854</v>
      </c>
      <c r="D102" s="19">
        <v>161</v>
      </c>
      <c r="E102" s="19">
        <v>282466</v>
      </c>
      <c r="F102" s="19">
        <v>5.17</v>
      </c>
      <c r="G102" s="19">
        <v>1810</v>
      </c>
      <c r="H102" s="20" t="str">
        <f>IF(AND(A102&gt;='Campaign Data'!$B$2,'Engagment Summary'!A102&lt;='Campaign Data'!$C$2),"EndofSeasonSale",IF(AND(A102&gt;='Campaign Data'!$B$3,A102&lt;='Campaign Data'!$C$3),"FashionUpgrade",IF(AND(A102&gt;='Campaign Data'!$B$4,A102&lt;='Campaign Data'!$C$4),"MyntraFestiveEdit",IF(AND(A102&gt;='Campaign Data'!$B$5,A102&lt;='Campaign Data'!$C$5),"StyleRevolution","No Campaign"))))</f>
        <v>No Campaign</v>
      </c>
    </row>
    <row r="103" spans="1:8" x14ac:dyDescent="0.25">
      <c r="A103" s="28">
        <v>45621</v>
      </c>
      <c r="B103" s="22" t="s">
        <v>8</v>
      </c>
      <c r="C103" s="22">
        <v>1710</v>
      </c>
      <c r="D103" s="22">
        <v>378</v>
      </c>
      <c r="E103" s="22">
        <v>336661</v>
      </c>
      <c r="F103" s="22">
        <v>6.2</v>
      </c>
      <c r="G103" s="22">
        <v>28498</v>
      </c>
      <c r="H103" s="20" t="str">
        <f>IF(AND(A103&gt;='Campaign Data'!$B$2,'Engagment Summary'!A103&lt;='Campaign Data'!$C$2),"EndofSeasonSale",IF(AND(A103&gt;='Campaign Data'!$B$3,A103&lt;='Campaign Data'!$C$3),"FashionUpgrade",IF(AND(A103&gt;='Campaign Data'!$B$4,A103&lt;='Campaign Data'!$C$4),"MyntraFestiveEdit",IF(AND(A103&gt;='Campaign Data'!$B$5,A103&lt;='Campaign Data'!$C$5),"StyleRevolution","No Campaign"))))</f>
        <v>No Campaign</v>
      </c>
    </row>
    <row r="104" spans="1:8" x14ac:dyDescent="0.25">
      <c r="A104" s="27">
        <v>45621</v>
      </c>
      <c r="B104" s="19" t="s">
        <v>9</v>
      </c>
      <c r="C104" s="19">
        <v>330</v>
      </c>
      <c r="D104" s="19">
        <v>232</v>
      </c>
      <c r="E104" s="19">
        <v>88455</v>
      </c>
      <c r="F104" s="19">
        <v>2.69</v>
      </c>
      <c r="G104" s="19">
        <v>39530</v>
      </c>
      <c r="H104" s="20" t="str">
        <f>IF(AND(A104&gt;='Campaign Data'!$B$2,'Engagment Summary'!A104&lt;='Campaign Data'!$C$2),"EndofSeasonSale",IF(AND(A104&gt;='Campaign Data'!$B$3,A104&lt;='Campaign Data'!$C$3),"FashionUpgrade",IF(AND(A104&gt;='Campaign Data'!$B$4,A104&lt;='Campaign Data'!$C$4),"MyntraFestiveEdit",IF(AND(A104&gt;='Campaign Data'!$B$5,A104&lt;='Campaign Data'!$C$5),"StyleRevolution","No Campaign"))))</f>
        <v>No Campaign</v>
      </c>
    </row>
    <row r="105" spans="1:8" x14ac:dyDescent="0.25">
      <c r="A105" s="28">
        <v>45621</v>
      </c>
      <c r="B105" s="22" t="s">
        <v>10</v>
      </c>
      <c r="C105" s="22">
        <v>1293</v>
      </c>
      <c r="D105" s="22">
        <v>408</v>
      </c>
      <c r="E105" s="22">
        <v>62535</v>
      </c>
      <c r="F105" s="22">
        <v>8.9</v>
      </c>
      <c r="G105" s="22">
        <v>37876</v>
      </c>
      <c r="H105" s="20" t="str">
        <f>IF(AND(A105&gt;='Campaign Data'!$B$2,'Engagment Summary'!A105&lt;='Campaign Data'!$C$2),"EndofSeasonSale",IF(AND(A105&gt;='Campaign Data'!$B$3,A105&lt;='Campaign Data'!$C$3),"FashionUpgrade",IF(AND(A105&gt;='Campaign Data'!$B$4,A105&lt;='Campaign Data'!$C$4),"MyntraFestiveEdit",IF(AND(A105&gt;='Campaign Data'!$B$5,A105&lt;='Campaign Data'!$C$5),"StyleRevolution","No Campaign"))))</f>
        <v>No Campaign</v>
      </c>
    </row>
    <row r="106" spans="1:8" x14ac:dyDescent="0.25">
      <c r="A106" s="27">
        <v>45628</v>
      </c>
      <c r="B106" s="19" t="s">
        <v>7</v>
      </c>
      <c r="C106" s="19">
        <v>1696</v>
      </c>
      <c r="D106" s="19">
        <v>71</v>
      </c>
      <c r="E106" s="19">
        <v>421957</v>
      </c>
      <c r="F106" s="19">
        <v>3.79</v>
      </c>
      <c r="G106" s="19">
        <v>36103</v>
      </c>
      <c r="H106" s="20" t="str">
        <f>IF(AND(A106&gt;='Campaign Data'!$B$2,'Engagment Summary'!A106&lt;='Campaign Data'!$C$2),"EndofSeasonSale",IF(AND(A106&gt;='Campaign Data'!$B$3,A106&lt;='Campaign Data'!$C$3),"FashionUpgrade",IF(AND(A106&gt;='Campaign Data'!$B$4,A106&lt;='Campaign Data'!$C$4),"MyntraFestiveEdit",IF(AND(A106&gt;='Campaign Data'!$B$5,A106&lt;='Campaign Data'!$C$5),"StyleRevolution","No Campaign"))))</f>
        <v>No Campaign</v>
      </c>
    </row>
    <row r="107" spans="1:8" x14ac:dyDescent="0.25">
      <c r="A107" s="28">
        <v>45628</v>
      </c>
      <c r="B107" s="22" t="s">
        <v>8</v>
      </c>
      <c r="C107" s="22">
        <v>1902</v>
      </c>
      <c r="D107" s="22">
        <v>196</v>
      </c>
      <c r="E107" s="22">
        <v>470269</v>
      </c>
      <c r="F107" s="22">
        <v>4.79</v>
      </c>
      <c r="G107" s="22">
        <v>26103</v>
      </c>
      <c r="H107" s="20" t="str">
        <f>IF(AND(A107&gt;='Campaign Data'!$B$2,'Engagment Summary'!A107&lt;='Campaign Data'!$C$2),"EndofSeasonSale",IF(AND(A107&gt;='Campaign Data'!$B$3,A107&lt;='Campaign Data'!$C$3),"FashionUpgrade",IF(AND(A107&gt;='Campaign Data'!$B$4,A107&lt;='Campaign Data'!$C$4),"MyntraFestiveEdit",IF(AND(A107&gt;='Campaign Data'!$B$5,A107&lt;='Campaign Data'!$C$5),"StyleRevolution","No Campaign"))))</f>
        <v>No Campaign</v>
      </c>
    </row>
    <row r="108" spans="1:8" x14ac:dyDescent="0.25">
      <c r="A108" s="27">
        <v>45628</v>
      </c>
      <c r="B108" s="19" t="s">
        <v>9</v>
      </c>
      <c r="C108" s="19">
        <v>1441</v>
      </c>
      <c r="D108" s="19">
        <v>268</v>
      </c>
      <c r="E108" s="19">
        <v>309904</v>
      </c>
      <c r="F108" s="19">
        <v>6.37</v>
      </c>
      <c r="G108" s="19">
        <v>3455</v>
      </c>
      <c r="H108" s="20" t="str">
        <f>IF(AND(A108&gt;='Campaign Data'!$B$2,'Engagment Summary'!A108&lt;='Campaign Data'!$C$2),"EndofSeasonSale",IF(AND(A108&gt;='Campaign Data'!$B$3,A108&lt;='Campaign Data'!$C$3),"FashionUpgrade",IF(AND(A108&gt;='Campaign Data'!$B$4,A108&lt;='Campaign Data'!$C$4),"MyntraFestiveEdit",IF(AND(A108&gt;='Campaign Data'!$B$5,A108&lt;='Campaign Data'!$C$5),"StyleRevolution","No Campaign"))))</f>
        <v>No Campaign</v>
      </c>
    </row>
    <row r="109" spans="1:8" x14ac:dyDescent="0.25">
      <c r="A109" s="28">
        <v>45628</v>
      </c>
      <c r="B109" s="22" t="s">
        <v>10</v>
      </c>
      <c r="C109" s="22">
        <v>452</v>
      </c>
      <c r="D109" s="22">
        <v>161</v>
      </c>
      <c r="E109" s="22">
        <v>221274</v>
      </c>
      <c r="F109" s="22">
        <v>2.65</v>
      </c>
      <c r="G109" s="22">
        <v>40888</v>
      </c>
      <c r="H109" s="20" t="str">
        <f>IF(AND(A109&gt;='Campaign Data'!$B$2,'Engagment Summary'!A109&lt;='Campaign Data'!$C$2),"EndofSeasonSale",IF(AND(A109&gt;='Campaign Data'!$B$3,A109&lt;='Campaign Data'!$C$3),"FashionUpgrade",IF(AND(A109&gt;='Campaign Data'!$B$4,A109&lt;='Campaign Data'!$C$4),"MyntraFestiveEdit",IF(AND(A109&gt;='Campaign Data'!$B$5,A109&lt;='Campaign Data'!$C$5),"StyleRevolution","No Campaign"))))</f>
        <v>No Campaign</v>
      </c>
    </row>
    <row r="110" spans="1:8" x14ac:dyDescent="0.25">
      <c r="A110" s="27">
        <v>45635</v>
      </c>
      <c r="B110" s="19" t="s">
        <v>7</v>
      </c>
      <c r="C110" s="19">
        <v>1494</v>
      </c>
      <c r="D110" s="19">
        <v>375</v>
      </c>
      <c r="E110" s="19">
        <v>220616</v>
      </c>
      <c r="F110" s="19">
        <v>1.81</v>
      </c>
      <c r="G110" s="19">
        <v>22724</v>
      </c>
      <c r="H110" s="20" t="str">
        <f>IF(AND(A110&gt;='Campaign Data'!$B$2,'Engagment Summary'!A110&lt;='Campaign Data'!$C$2),"EndofSeasonSale",IF(AND(A110&gt;='Campaign Data'!$B$3,A110&lt;='Campaign Data'!$C$3),"FashionUpgrade",IF(AND(A110&gt;='Campaign Data'!$B$4,A110&lt;='Campaign Data'!$C$4),"MyntraFestiveEdit",IF(AND(A110&gt;='Campaign Data'!$B$5,A110&lt;='Campaign Data'!$C$5),"StyleRevolution","No Campaign"))))</f>
        <v>No Campaign</v>
      </c>
    </row>
    <row r="111" spans="1:8" x14ac:dyDescent="0.25">
      <c r="A111" s="28">
        <v>45635</v>
      </c>
      <c r="B111" s="22" t="s">
        <v>8</v>
      </c>
      <c r="C111" s="22">
        <v>1514</v>
      </c>
      <c r="D111" s="22">
        <v>141</v>
      </c>
      <c r="E111" s="22">
        <v>35842</v>
      </c>
      <c r="F111" s="22">
        <v>7.47</v>
      </c>
      <c r="G111" s="22">
        <v>18601</v>
      </c>
      <c r="H111" s="20" t="str">
        <f>IF(AND(A111&gt;='Campaign Data'!$B$2,'Engagment Summary'!A111&lt;='Campaign Data'!$C$2),"EndofSeasonSale",IF(AND(A111&gt;='Campaign Data'!$B$3,A111&lt;='Campaign Data'!$C$3),"FashionUpgrade",IF(AND(A111&gt;='Campaign Data'!$B$4,A111&lt;='Campaign Data'!$C$4),"MyntraFestiveEdit",IF(AND(A111&gt;='Campaign Data'!$B$5,A111&lt;='Campaign Data'!$C$5),"StyleRevolution","No Campaign"))))</f>
        <v>No Campaign</v>
      </c>
    </row>
    <row r="112" spans="1:8" x14ac:dyDescent="0.25">
      <c r="A112" s="27">
        <v>45635</v>
      </c>
      <c r="B112" s="19" t="s">
        <v>9</v>
      </c>
      <c r="C112" s="19">
        <v>1937</v>
      </c>
      <c r="D112" s="19">
        <v>210</v>
      </c>
      <c r="E112" s="19">
        <v>20607</v>
      </c>
      <c r="F112" s="19">
        <v>4.2</v>
      </c>
      <c r="G112" s="19">
        <v>20861</v>
      </c>
      <c r="H112" s="20" t="str">
        <f>IF(AND(A112&gt;='Campaign Data'!$B$2,'Engagment Summary'!A112&lt;='Campaign Data'!$C$2),"EndofSeasonSale",IF(AND(A112&gt;='Campaign Data'!$B$3,A112&lt;='Campaign Data'!$C$3),"FashionUpgrade",IF(AND(A112&gt;='Campaign Data'!$B$4,A112&lt;='Campaign Data'!$C$4),"MyntraFestiveEdit",IF(AND(A112&gt;='Campaign Data'!$B$5,A112&lt;='Campaign Data'!$C$5),"StyleRevolution","No Campaign"))))</f>
        <v>No Campaign</v>
      </c>
    </row>
    <row r="113" spans="1:8" x14ac:dyDescent="0.25">
      <c r="A113" s="28">
        <v>45635</v>
      </c>
      <c r="B113" s="22" t="s">
        <v>10</v>
      </c>
      <c r="C113" s="22">
        <v>736</v>
      </c>
      <c r="D113" s="22">
        <v>163</v>
      </c>
      <c r="E113" s="22">
        <v>451894</v>
      </c>
      <c r="F113" s="22">
        <v>5.43</v>
      </c>
      <c r="G113" s="22">
        <v>46625</v>
      </c>
      <c r="H113" s="20" t="str">
        <f>IF(AND(A113&gt;='Campaign Data'!$B$2,'Engagment Summary'!A113&lt;='Campaign Data'!$C$2),"EndofSeasonSale",IF(AND(A113&gt;='Campaign Data'!$B$3,A113&lt;='Campaign Data'!$C$3),"FashionUpgrade",IF(AND(A113&gt;='Campaign Data'!$B$4,A113&lt;='Campaign Data'!$C$4),"MyntraFestiveEdit",IF(AND(A113&gt;='Campaign Data'!$B$5,A113&lt;='Campaign Data'!$C$5),"StyleRevolution","No Campaign"))))</f>
        <v>No Campaign</v>
      </c>
    </row>
    <row r="114" spans="1:8" x14ac:dyDescent="0.25">
      <c r="A114" s="27">
        <v>45642</v>
      </c>
      <c r="B114" s="19" t="s">
        <v>7</v>
      </c>
      <c r="C114" s="19">
        <v>1502</v>
      </c>
      <c r="D114" s="19">
        <v>70</v>
      </c>
      <c r="E114" s="19">
        <v>465553</v>
      </c>
      <c r="F114" s="19">
        <v>3.32</v>
      </c>
      <c r="G114" s="19">
        <v>20692</v>
      </c>
      <c r="H114" s="20" t="str">
        <f>IF(AND(A114&gt;='Campaign Data'!$B$2,'Engagment Summary'!A114&lt;='Campaign Data'!$C$2),"EndofSeasonSale",IF(AND(A114&gt;='Campaign Data'!$B$3,A114&lt;='Campaign Data'!$C$3),"FashionUpgrade",IF(AND(A114&gt;='Campaign Data'!$B$4,A114&lt;='Campaign Data'!$C$4),"MyntraFestiveEdit",IF(AND(A114&gt;='Campaign Data'!$B$5,A114&lt;='Campaign Data'!$C$5),"StyleRevolution","No Campaign"))))</f>
        <v>No Campaign</v>
      </c>
    </row>
    <row r="115" spans="1:8" x14ac:dyDescent="0.25">
      <c r="A115" s="28">
        <v>45642</v>
      </c>
      <c r="B115" s="22" t="s">
        <v>8</v>
      </c>
      <c r="C115" s="22">
        <v>1623</v>
      </c>
      <c r="D115" s="22">
        <v>246</v>
      </c>
      <c r="E115" s="22">
        <v>415815</v>
      </c>
      <c r="F115" s="22">
        <v>8.11</v>
      </c>
      <c r="G115" s="22">
        <v>18656</v>
      </c>
      <c r="H115" s="20" t="str">
        <f>IF(AND(A115&gt;='Campaign Data'!$B$2,'Engagment Summary'!A115&lt;='Campaign Data'!$C$2),"EndofSeasonSale",IF(AND(A115&gt;='Campaign Data'!$B$3,A115&lt;='Campaign Data'!$C$3),"FashionUpgrade",IF(AND(A115&gt;='Campaign Data'!$B$4,A115&lt;='Campaign Data'!$C$4),"MyntraFestiveEdit",IF(AND(A115&gt;='Campaign Data'!$B$5,A115&lt;='Campaign Data'!$C$5),"StyleRevolution","No Campaign"))))</f>
        <v>No Campaign</v>
      </c>
    </row>
    <row r="116" spans="1:8" x14ac:dyDescent="0.25">
      <c r="A116" s="27">
        <v>45642</v>
      </c>
      <c r="B116" s="19" t="s">
        <v>9</v>
      </c>
      <c r="C116" s="19">
        <v>1592</v>
      </c>
      <c r="D116" s="19">
        <v>233</v>
      </c>
      <c r="E116" s="19">
        <v>327183</v>
      </c>
      <c r="F116" s="19">
        <v>6.66</v>
      </c>
      <c r="G116" s="19">
        <v>13316</v>
      </c>
      <c r="H116" s="20" t="str">
        <f>IF(AND(A116&gt;='Campaign Data'!$B$2,'Engagment Summary'!A116&lt;='Campaign Data'!$C$2),"EndofSeasonSale",IF(AND(A116&gt;='Campaign Data'!$B$3,A116&lt;='Campaign Data'!$C$3),"FashionUpgrade",IF(AND(A116&gt;='Campaign Data'!$B$4,A116&lt;='Campaign Data'!$C$4),"MyntraFestiveEdit",IF(AND(A116&gt;='Campaign Data'!$B$5,A116&lt;='Campaign Data'!$C$5),"StyleRevolution","No Campaign"))))</f>
        <v>No Campaign</v>
      </c>
    </row>
    <row r="117" spans="1:8" x14ac:dyDescent="0.25">
      <c r="A117" s="28">
        <v>45642</v>
      </c>
      <c r="B117" s="22" t="s">
        <v>10</v>
      </c>
      <c r="C117" s="22">
        <v>1004</v>
      </c>
      <c r="D117" s="22">
        <v>128</v>
      </c>
      <c r="E117" s="22">
        <v>488901</v>
      </c>
      <c r="F117" s="22">
        <v>8.09</v>
      </c>
      <c r="G117" s="22">
        <v>49558</v>
      </c>
      <c r="H117" s="20" t="str">
        <f>IF(AND(A117&gt;='Campaign Data'!$B$2,'Engagment Summary'!A117&lt;='Campaign Data'!$C$2),"EndofSeasonSale",IF(AND(A117&gt;='Campaign Data'!$B$3,A117&lt;='Campaign Data'!$C$3),"FashionUpgrade",IF(AND(A117&gt;='Campaign Data'!$B$4,A117&lt;='Campaign Data'!$C$4),"MyntraFestiveEdit",IF(AND(A117&gt;='Campaign Data'!$B$5,A117&lt;='Campaign Data'!$C$5),"StyleRevolution","No Campaign"))))</f>
        <v>No Campaign</v>
      </c>
    </row>
    <row r="118" spans="1:8" x14ac:dyDescent="0.25">
      <c r="A118" s="27">
        <v>45649</v>
      </c>
      <c r="B118" s="19" t="s">
        <v>7</v>
      </c>
      <c r="C118" s="19">
        <v>1092</v>
      </c>
      <c r="D118" s="19">
        <v>408</v>
      </c>
      <c r="E118" s="19">
        <v>280795</v>
      </c>
      <c r="F118" s="19">
        <v>8.44</v>
      </c>
      <c r="G118" s="19">
        <v>4683</v>
      </c>
      <c r="H118" s="20" t="str">
        <f>IF(AND(A118&gt;='Campaign Data'!$B$2,'Engagment Summary'!A118&lt;='Campaign Data'!$C$2),"EndofSeasonSale",IF(AND(A118&gt;='Campaign Data'!$B$3,A118&lt;='Campaign Data'!$C$3),"FashionUpgrade",IF(AND(A118&gt;='Campaign Data'!$B$4,A118&lt;='Campaign Data'!$C$4),"MyntraFestiveEdit",IF(AND(A118&gt;='Campaign Data'!$B$5,A118&lt;='Campaign Data'!$C$5),"StyleRevolution","No Campaign"))))</f>
        <v>No Campaign</v>
      </c>
    </row>
    <row r="119" spans="1:8" x14ac:dyDescent="0.25">
      <c r="A119" s="28">
        <v>45649</v>
      </c>
      <c r="B119" s="22" t="s">
        <v>8</v>
      </c>
      <c r="C119" s="22">
        <v>1155</v>
      </c>
      <c r="D119" s="22">
        <v>425</v>
      </c>
      <c r="E119" s="22">
        <v>93347</v>
      </c>
      <c r="F119" s="22">
        <v>2.02</v>
      </c>
      <c r="G119" s="22">
        <v>47502</v>
      </c>
      <c r="H119" s="20" t="str">
        <f>IF(AND(A119&gt;='Campaign Data'!$B$2,'Engagment Summary'!A119&lt;='Campaign Data'!$C$2),"EndofSeasonSale",IF(AND(A119&gt;='Campaign Data'!$B$3,A119&lt;='Campaign Data'!$C$3),"FashionUpgrade",IF(AND(A119&gt;='Campaign Data'!$B$4,A119&lt;='Campaign Data'!$C$4),"MyntraFestiveEdit",IF(AND(A119&gt;='Campaign Data'!$B$5,A119&lt;='Campaign Data'!$C$5),"StyleRevolution","No Campaign"))))</f>
        <v>No Campaign</v>
      </c>
    </row>
    <row r="120" spans="1:8" x14ac:dyDescent="0.25">
      <c r="A120" s="27">
        <v>45649</v>
      </c>
      <c r="B120" s="19" t="s">
        <v>9</v>
      </c>
      <c r="C120" s="19">
        <v>1137</v>
      </c>
      <c r="D120" s="19">
        <v>226</v>
      </c>
      <c r="E120" s="19">
        <v>81119</v>
      </c>
      <c r="F120" s="19">
        <v>7.74</v>
      </c>
      <c r="G120" s="19">
        <v>35359</v>
      </c>
      <c r="H120" s="20" t="str">
        <f>IF(AND(A120&gt;='Campaign Data'!$B$2,'Engagment Summary'!A120&lt;='Campaign Data'!$C$2),"EndofSeasonSale",IF(AND(A120&gt;='Campaign Data'!$B$3,A120&lt;='Campaign Data'!$C$3),"FashionUpgrade",IF(AND(A120&gt;='Campaign Data'!$B$4,A120&lt;='Campaign Data'!$C$4),"MyntraFestiveEdit",IF(AND(A120&gt;='Campaign Data'!$B$5,A120&lt;='Campaign Data'!$C$5),"StyleRevolution","No Campaign"))))</f>
        <v>No Campaign</v>
      </c>
    </row>
    <row r="121" spans="1:8" x14ac:dyDescent="0.25">
      <c r="A121" s="28">
        <v>45649</v>
      </c>
      <c r="B121" s="22" t="s">
        <v>10</v>
      </c>
      <c r="C121" s="22">
        <v>1900</v>
      </c>
      <c r="D121" s="22">
        <v>311</v>
      </c>
      <c r="E121" s="22">
        <v>25177</v>
      </c>
      <c r="F121" s="22">
        <v>2.89</v>
      </c>
      <c r="G121" s="22">
        <v>14154</v>
      </c>
      <c r="H121" s="20" t="str">
        <f>IF(AND(A121&gt;='Campaign Data'!$B$2,'Engagment Summary'!A121&lt;='Campaign Data'!$C$2),"EndofSeasonSale",IF(AND(A121&gt;='Campaign Data'!$B$3,A121&lt;='Campaign Data'!$C$3),"FashionUpgrade",IF(AND(A121&gt;='Campaign Data'!$B$4,A121&lt;='Campaign Data'!$C$4),"MyntraFestiveEdit",IF(AND(A121&gt;='Campaign Data'!$B$5,A121&lt;='Campaign Data'!$C$5),"StyleRevolution","No Campaign"))))</f>
        <v>No Campaign</v>
      </c>
    </row>
    <row r="122" spans="1:8" x14ac:dyDescent="0.25">
      <c r="A122" s="27">
        <v>45656</v>
      </c>
      <c r="B122" s="19" t="s">
        <v>7</v>
      </c>
      <c r="C122" s="19">
        <v>1814</v>
      </c>
      <c r="D122" s="19">
        <v>49</v>
      </c>
      <c r="E122" s="19">
        <v>140804</v>
      </c>
      <c r="F122" s="19">
        <v>1.76</v>
      </c>
      <c r="G122" s="19">
        <v>4313</v>
      </c>
      <c r="H122" s="20" t="str">
        <f>IF(AND(A122&gt;='Campaign Data'!$B$2,'Engagment Summary'!A122&lt;='Campaign Data'!$C$2),"EndofSeasonSale",IF(AND(A122&gt;='Campaign Data'!$B$3,A122&lt;='Campaign Data'!$C$3),"FashionUpgrade",IF(AND(A122&gt;='Campaign Data'!$B$4,A122&lt;='Campaign Data'!$C$4),"MyntraFestiveEdit",IF(AND(A122&gt;='Campaign Data'!$B$5,A122&lt;='Campaign Data'!$C$5),"StyleRevolution","No Campaign"))))</f>
        <v>No Campaign</v>
      </c>
    </row>
    <row r="123" spans="1:8" x14ac:dyDescent="0.25">
      <c r="A123" s="28">
        <v>45656</v>
      </c>
      <c r="B123" s="22" t="s">
        <v>8</v>
      </c>
      <c r="C123" s="22">
        <v>1980</v>
      </c>
      <c r="D123" s="22">
        <v>204</v>
      </c>
      <c r="E123" s="22">
        <v>379431</v>
      </c>
      <c r="F123" s="22">
        <v>3.09</v>
      </c>
      <c r="G123" s="22">
        <v>25140</v>
      </c>
      <c r="H123" s="20" t="str">
        <f>IF(AND(A123&gt;='Campaign Data'!$B$2,'Engagment Summary'!A123&lt;='Campaign Data'!$C$2),"EndofSeasonSale",IF(AND(A123&gt;='Campaign Data'!$B$3,A123&lt;='Campaign Data'!$C$3),"FashionUpgrade",IF(AND(A123&gt;='Campaign Data'!$B$4,A123&lt;='Campaign Data'!$C$4),"MyntraFestiveEdit",IF(AND(A123&gt;='Campaign Data'!$B$5,A123&lt;='Campaign Data'!$C$5),"StyleRevolution","No Campaign"))))</f>
        <v>No Campaign</v>
      </c>
    </row>
    <row r="124" spans="1:8" x14ac:dyDescent="0.25">
      <c r="A124" s="27">
        <v>45656</v>
      </c>
      <c r="B124" s="19" t="s">
        <v>9</v>
      </c>
      <c r="C124" s="19">
        <v>1786</v>
      </c>
      <c r="D124" s="19">
        <v>257</v>
      </c>
      <c r="E124" s="19">
        <v>274831</v>
      </c>
      <c r="F124" s="19">
        <v>4.68</v>
      </c>
      <c r="G124" s="19">
        <v>9118</v>
      </c>
      <c r="H124" s="20" t="str">
        <f>IF(AND(A124&gt;='Campaign Data'!$B$2,'Engagment Summary'!A124&lt;='Campaign Data'!$C$2),"EndofSeasonSale",IF(AND(A124&gt;='Campaign Data'!$B$3,A124&lt;='Campaign Data'!$C$3),"FashionUpgrade",IF(AND(A124&gt;='Campaign Data'!$B$4,A124&lt;='Campaign Data'!$C$4),"MyntraFestiveEdit",IF(AND(A124&gt;='Campaign Data'!$B$5,A124&lt;='Campaign Data'!$C$5),"StyleRevolution","No Campaign"))))</f>
        <v>No Campaign</v>
      </c>
    </row>
    <row r="125" spans="1:8" x14ac:dyDescent="0.25">
      <c r="A125" s="28">
        <v>45656</v>
      </c>
      <c r="B125" s="22" t="s">
        <v>10</v>
      </c>
      <c r="C125" s="22">
        <v>1495</v>
      </c>
      <c r="D125" s="22">
        <v>35</v>
      </c>
      <c r="E125" s="22">
        <v>136845</v>
      </c>
      <c r="F125" s="22">
        <v>4.4800000000000004</v>
      </c>
      <c r="G125" s="22">
        <v>39931</v>
      </c>
      <c r="H125" s="20" t="str">
        <f>IF(AND(A125&gt;='Campaign Data'!$B$2,'Engagment Summary'!A125&lt;='Campaign Data'!$C$2),"EndofSeasonSale",IF(AND(A125&gt;='Campaign Data'!$B$3,A125&lt;='Campaign Data'!$C$3),"FashionUpgrade",IF(AND(A125&gt;='Campaign Data'!$B$4,A125&lt;='Campaign Data'!$C$4),"MyntraFestiveEdit",IF(AND(A125&gt;='Campaign Data'!$B$5,A125&lt;='Campaign Data'!$C$5),"StyleRevolution","No Campaign"))))</f>
        <v>No Campaign</v>
      </c>
    </row>
    <row r="126" spans="1:8" x14ac:dyDescent="0.25">
      <c r="A126" s="27">
        <v>45663</v>
      </c>
      <c r="B126" s="19" t="s">
        <v>7</v>
      </c>
      <c r="C126" s="19">
        <v>1013</v>
      </c>
      <c r="D126" s="19">
        <v>110</v>
      </c>
      <c r="E126" s="19">
        <v>466382</v>
      </c>
      <c r="F126" s="19">
        <v>5.3</v>
      </c>
      <c r="G126" s="19">
        <v>37132</v>
      </c>
      <c r="H126" s="20" t="str">
        <f>IF(AND(A126&gt;='Campaign Data'!$B$2,'Engagment Summary'!A126&lt;='Campaign Data'!$C$2),"EndofSeasonSale",IF(AND(A126&gt;='Campaign Data'!$B$3,A126&lt;='Campaign Data'!$C$3),"FashionUpgrade",IF(AND(A126&gt;='Campaign Data'!$B$4,A126&lt;='Campaign Data'!$C$4),"MyntraFestiveEdit",IF(AND(A126&gt;='Campaign Data'!$B$5,A126&lt;='Campaign Data'!$C$5),"StyleRevolution","No Campaign"))))</f>
        <v>No Campaign</v>
      </c>
    </row>
    <row r="127" spans="1:8" x14ac:dyDescent="0.25">
      <c r="A127" s="28">
        <v>45663</v>
      </c>
      <c r="B127" s="22" t="s">
        <v>8</v>
      </c>
      <c r="C127" s="22">
        <v>816</v>
      </c>
      <c r="D127" s="22">
        <v>196</v>
      </c>
      <c r="E127" s="22">
        <v>95728</v>
      </c>
      <c r="F127" s="22">
        <v>8.1999999999999993</v>
      </c>
      <c r="G127" s="22">
        <v>17951</v>
      </c>
      <c r="H127" s="20" t="str">
        <f>IF(AND(A127&gt;='Campaign Data'!$B$2,'Engagment Summary'!A127&lt;='Campaign Data'!$C$2),"EndofSeasonSale",IF(AND(A127&gt;='Campaign Data'!$B$3,A127&lt;='Campaign Data'!$C$3),"FashionUpgrade",IF(AND(A127&gt;='Campaign Data'!$B$4,A127&lt;='Campaign Data'!$C$4),"MyntraFestiveEdit",IF(AND(A127&gt;='Campaign Data'!$B$5,A127&lt;='Campaign Data'!$C$5),"StyleRevolution","No Campaign"))))</f>
        <v>No Campaign</v>
      </c>
    </row>
    <row r="128" spans="1:8" x14ac:dyDescent="0.25">
      <c r="A128" s="27">
        <v>45663</v>
      </c>
      <c r="B128" s="19" t="s">
        <v>9</v>
      </c>
      <c r="C128" s="19">
        <v>1633</v>
      </c>
      <c r="D128" s="19">
        <v>445</v>
      </c>
      <c r="E128" s="19">
        <v>371156</v>
      </c>
      <c r="F128" s="19">
        <v>2.2200000000000002</v>
      </c>
      <c r="G128" s="19">
        <v>2798</v>
      </c>
      <c r="H128" s="20" t="str">
        <f>IF(AND(A128&gt;='Campaign Data'!$B$2,'Engagment Summary'!A128&lt;='Campaign Data'!$C$2),"EndofSeasonSale",IF(AND(A128&gt;='Campaign Data'!$B$3,A128&lt;='Campaign Data'!$C$3),"FashionUpgrade",IF(AND(A128&gt;='Campaign Data'!$B$4,A128&lt;='Campaign Data'!$C$4),"MyntraFestiveEdit",IF(AND(A128&gt;='Campaign Data'!$B$5,A128&lt;='Campaign Data'!$C$5),"StyleRevolution","No Campaign"))))</f>
        <v>No Campaign</v>
      </c>
    </row>
    <row r="129" spans="1:8" x14ac:dyDescent="0.25">
      <c r="A129" s="28">
        <v>45663</v>
      </c>
      <c r="B129" s="22" t="s">
        <v>10</v>
      </c>
      <c r="C129" s="22">
        <v>891</v>
      </c>
      <c r="D129" s="22">
        <v>45</v>
      </c>
      <c r="E129" s="22">
        <v>95410</v>
      </c>
      <c r="F129" s="22">
        <v>8.33</v>
      </c>
      <c r="G129" s="22">
        <v>15045</v>
      </c>
      <c r="H129" s="20" t="str">
        <f>IF(AND(A129&gt;='Campaign Data'!$B$2,'Engagment Summary'!A129&lt;='Campaign Data'!$C$2),"EndofSeasonSale",IF(AND(A129&gt;='Campaign Data'!$B$3,A129&lt;='Campaign Data'!$C$3),"FashionUpgrade",IF(AND(A129&gt;='Campaign Data'!$B$4,A129&lt;='Campaign Data'!$C$4),"MyntraFestiveEdit",IF(AND(A129&gt;='Campaign Data'!$B$5,A129&lt;='Campaign Data'!$C$5),"StyleRevolution","No Campaign"))))</f>
        <v>No Campaign</v>
      </c>
    </row>
    <row r="130" spans="1:8" x14ac:dyDescent="0.25">
      <c r="A130" s="27">
        <v>45670</v>
      </c>
      <c r="B130" s="19" t="s">
        <v>7</v>
      </c>
      <c r="C130" s="19">
        <v>1855</v>
      </c>
      <c r="D130" s="19">
        <v>133</v>
      </c>
      <c r="E130" s="19">
        <v>349413</v>
      </c>
      <c r="F130" s="19">
        <v>3.3</v>
      </c>
      <c r="G130" s="19">
        <v>14548</v>
      </c>
      <c r="H130" s="20" t="str">
        <f>IF(AND(A130&gt;='Campaign Data'!$B$2,'Engagment Summary'!A130&lt;='Campaign Data'!$C$2),"EndofSeasonSale",IF(AND(A130&gt;='Campaign Data'!$B$3,A130&lt;='Campaign Data'!$C$3),"FashionUpgrade",IF(AND(A130&gt;='Campaign Data'!$B$4,A130&lt;='Campaign Data'!$C$4),"MyntraFestiveEdit",IF(AND(A130&gt;='Campaign Data'!$B$5,A130&lt;='Campaign Data'!$C$5),"StyleRevolution","No Campaign"))))</f>
        <v>StyleRevolution</v>
      </c>
    </row>
    <row r="131" spans="1:8" x14ac:dyDescent="0.25">
      <c r="A131" s="28">
        <v>45670</v>
      </c>
      <c r="B131" s="22" t="s">
        <v>8</v>
      </c>
      <c r="C131" s="22">
        <v>651</v>
      </c>
      <c r="D131" s="22">
        <v>353</v>
      </c>
      <c r="E131" s="22">
        <v>224699</v>
      </c>
      <c r="F131" s="22">
        <v>5.61</v>
      </c>
      <c r="G131" s="22">
        <v>45708</v>
      </c>
      <c r="H131" s="20" t="str">
        <f>IF(AND(A131&gt;='Campaign Data'!$B$2,'Engagment Summary'!A131&lt;='Campaign Data'!$C$2),"EndofSeasonSale",IF(AND(A131&gt;='Campaign Data'!$B$3,A131&lt;='Campaign Data'!$C$3),"FashionUpgrade",IF(AND(A131&gt;='Campaign Data'!$B$4,A131&lt;='Campaign Data'!$C$4),"MyntraFestiveEdit",IF(AND(A131&gt;='Campaign Data'!$B$5,A131&lt;='Campaign Data'!$C$5),"StyleRevolution","No Campaign"))))</f>
        <v>StyleRevolution</v>
      </c>
    </row>
    <row r="132" spans="1:8" x14ac:dyDescent="0.25">
      <c r="A132" s="27">
        <v>45670</v>
      </c>
      <c r="B132" s="19" t="s">
        <v>9</v>
      </c>
      <c r="C132" s="19">
        <v>118</v>
      </c>
      <c r="D132" s="19">
        <v>262</v>
      </c>
      <c r="E132" s="19">
        <v>487896</v>
      </c>
      <c r="F132" s="19">
        <v>2.56</v>
      </c>
      <c r="G132" s="19">
        <v>12350</v>
      </c>
      <c r="H132" s="20" t="str">
        <f>IF(AND(A132&gt;='Campaign Data'!$B$2,'Engagment Summary'!A132&lt;='Campaign Data'!$C$2),"EndofSeasonSale",IF(AND(A132&gt;='Campaign Data'!$B$3,A132&lt;='Campaign Data'!$C$3),"FashionUpgrade",IF(AND(A132&gt;='Campaign Data'!$B$4,A132&lt;='Campaign Data'!$C$4),"MyntraFestiveEdit",IF(AND(A132&gt;='Campaign Data'!$B$5,A132&lt;='Campaign Data'!$C$5),"StyleRevolution","No Campaign"))))</f>
        <v>StyleRevolution</v>
      </c>
    </row>
    <row r="133" spans="1:8" x14ac:dyDescent="0.25">
      <c r="A133" s="28">
        <v>45670</v>
      </c>
      <c r="B133" s="22" t="s">
        <v>10</v>
      </c>
      <c r="C133" s="22">
        <v>1331</v>
      </c>
      <c r="D133" s="22">
        <v>430</v>
      </c>
      <c r="E133" s="22">
        <v>14437</v>
      </c>
      <c r="F133" s="22">
        <v>3.29</v>
      </c>
      <c r="G133" s="22">
        <v>40868</v>
      </c>
      <c r="H133" s="20" t="str">
        <f>IF(AND(A133&gt;='Campaign Data'!$B$2,'Engagment Summary'!A133&lt;='Campaign Data'!$C$2),"EndofSeasonSale",IF(AND(A133&gt;='Campaign Data'!$B$3,A133&lt;='Campaign Data'!$C$3),"FashionUpgrade",IF(AND(A133&gt;='Campaign Data'!$B$4,A133&lt;='Campaign Data'!$C$4),"MyntraFestiveEdit",IF(AND(A133&gt;='Campaign Data'!$B$5,A133&lt;='Campaign Data'!$C$5),"StyleRevolution","No Campaign"))))</f>
        <v>StyleRevolution</v>
      </c>
    </row>
    <row r="134" spans="1:8" x14ac:dyDescent="0.25">
      <c r="A134" s="27">
        <v>45677</v>
      </c>
      <c r="B134" s="19" t="s">
        <v>7</v>
      </c>
      <c r="C134" s="19">
        <v>1748</v>
      </c>
      <c r="D134" s="19">
        <v>176</v>
      </c>
      <c r="E134" s="19">
        <v>383681</v>
      </c>
      <c r="F134" s="19">
        <v>9.24</v>
      </c>
      <c r="G134" s="19">
        <v>43122</v>
      </c>
      <c r="H134" s="20" t="str">
        <f>IF(AND(A134&gt;='Campaign Data'!$B$2,'Engagment Summary'!A134&lt;='Campaign Data'!$C$2),"EndofSeasonSale",IF(AND(A134&gt;='Campaign Data'!$B$3,A134&lt;='Campaign Data'!$C$3),"FashionUpgrade",IF(AND(A134&gt;='Campaign Data'!$B$4,A134&lt;='Campaign Data'!$C$4),"MyntraFestiveEdit",IF(AND(A134&gt;='Campaign Data'!$B$5,A134&lt;='Campaign Data'!$C$5),"StyleRevolution","No Campaign"))))</f>
        <v>StyleRevolution</v>
      </c>
    </row>
    <row r="135" spans="1:8" x14ac:dyDescent="0.25">
      <c r="A135" s="28">
        <v>45677</v>
      </c>
      <c r="B135" s="22" t="s">
        <v>8</v>
      </c>
      <c r="C135" s="22">
        <v>663</v>
      </c>
      <c r="D135" s="22">
        <v>236</v>
      </c>
      <c r="E135" s="22">
        <v>479490</v>
      </c>
      <c r="F135" s="22">
        <v>4.51</v>
      </c>
      <c r="G135" s="22">
        <v>23853</v>
      </c>
      <c r="H135" s="20" t="str">
        <f>IF(AND(A135&gt;='Campaign Data'!$B$2,'Engagment Summary'!A135&lt;='Campaign Data'!$C$2),"EndofSeasonSale",IF(AND(A135&gt;='Campaign Data'!$B$3,A135&lt;='Campaign Data'!$C$3),"FashionUpgrade",IF(AND(A135&gt;='Campaign Data'!$B$4,A135&lt;='Campaign Data'!$C$4),"MyntraFestiveEdit",IF(AND(A135&gt;='Campaign Data'!$B$5,A135&lt;='Campaign Data'!$C$5),"StyleRevolution","No Campaign"))))</f>
        <v>StyleRevolution</v>
      </c>
    </row>
    <row r="136" spans="1:8" x14ac:dyDescent="0.25">
      <c r="A136" s="27">
        <v>45677</v>
      </c>
      <c r="B136" s="19" t="s">
        <v>9</v>
      </c>
      <c r="C136" s="19">
        <v>1040</v>
      </c>
      <c r="D136" s="19">
        <v>149</v>
      </c>
      <c r="E136" s="19">
        <v>124404</v>
      </c>
      <c r="F136" s="19">
        <v>5.23</v>
      </c>
      <c r="G136" s="19">
        <v>45380</v>
      </c>
      <c r="H136" s="20" t="str">
        <f>IF(AND(A136&gt;='Campaign Data'!$B$2,'Engagment Summary'!A136&lt;='Campaign Data'!$C$2),"EndofSeasonSale",IF(AND(A136&gt;='Campaign Data'!$B$3,A136&lt;='Campaign Data'!$C$3),"FashionUpgrade",IF(AND(A136&gt;='Campaign Data'!$B$4,A136&lt;='Campaign Data'!$C$4),"MyntraFestiveEdit",IF(AND(A136&gt;='Campaign Data'!$B$5,A136&lt;='Campaign Data'!$C$5),"StyleRevolution","No Campaign"))))</f>
        <v>StyleRevolution</v>
      </c>
    </row>
    <row r="137" spans="1:8" x14ac:dyDescent="0.25">
      <c r="A137" s="28">
        <v>45677</v>
      </c>
      <c r="B137" s="22" t="s">
        <v>10</v>
      </c>
      <c r="C137" s="22">
        <v>1166</v>
      </c>
      <c r="D137" s="22">
        <v>442</v>
      </c>
      <c r="E137" s="22">
        <v>336949</v>
      </c>
      <c r="F137" s="22">
        <v>4.68</v>
      </c>
      <c r="G137" s="22">
        <v>7705</v>
      </c>
      <c r="H137" s="20" t="str">
        <f>IF(AND(A137&gt;='Campaign Data'!$B$2,'Engagment Summary'!A137&lt;='Campaign Data'!$C$2),"EndofSeasonSale",IF(AND(A137&gt;='Campaign Data'!$B$3,A137&lt;='Campaign Data'!$C$3),"FashionUpgrade",IF(AND(A137&gt;='Campaign Data'!$B$4,A137&lt;='Campaign Data'!$C$4),"MyntraFestiveEdit",IF(AND(A137&gt;='Campaign Data'!$B$5,A137&lt;='Campaign Data'!$C$5),"StyleRevolution","No Campaign"))))</f>
        <v>StyleRevolution</v>
      </c>
    </row>
    <row r="138" spans="1:8" x14ac:dyDescent="0.25">
      <c r="A138" s="27">
        <v>45684</v>
      </c>
      <c r="B138" s="19" t="s">
        <v>7</v>
      </c>
      <c r="C138" s="19">
        <v>115</v>
      </c>
      <c r="D138" s="19">
        <v>281</v>
      </c>
      <c r="E138" s="19">
        <v>357265</v>
      </c>
      <c r="F138" s="19">
        <v>9.23</v>
      </c>
      <c r="G138" s="19">
        <v>25525</v>
      </c>
      <c r="H138" s="20" t="str">
        <f>IF(AND(A138&gt;='Campaign Data'!$B$2,'Engagment Summary'!A138&lt;='Campaign Data'!$C$2),"EndofSeasonSale",IF(AND(A138&gt;='Campaign Data'!$B$3,A138&lt;='Campaign Data'!$C$3),"FashionUpgrade",IF(AND(A138&gt;='Campaign Data'!$B$4,A138&lt;='Campaign Data'!$C$4),"MyntraFestiveEdit",IF(AND(A138&gt;='Campaign Data'!$B$5,A138&lt;='Campaign Data'!$C$5),"StyleRevolution","No Campaign"))))</f>
        <v>StyleRevolution</v>
      </c>
    </row>
    <row r="139" spans="1:8" x14ac:dyDescent="0.25">
      <c r="A139" s="28">
        <v>45684</v>
      </c>
      <c r="B139" s="22" t="s">
        <v>8</v>
      </c>
      <c r="C139" s="22">
        <v>1249</v>
      </c>
      <c r="D139" s="22">
        <v>351</v>
      </c>
      <c r="E139" s="22">
        <v>321307</v>
      </c>
      <c r="F139" s="22">
        <v>6.37</v>
      </c>
      <c r="G139" s="22">
        <v>20560</v>
      </c>
      <c r="H139" s="20" t="str">
        <f>IF(AND(A139&gt;='Campaign Data'!$B$2,'Engagment Summary'!A139&lt;='Campaign Data'!$C$2),"EndofSeasonSale",IF(AND(A139&gt;='Campaign Data'!$B$3,A139&lt;='Campaign Data'!$C$3),"FashionUpgrade",IF(AND(A139&gt;='Campaign Data'!$B$4,A139&lt;='Campaign Data'!$C$4),"MyntraFestiveEdit",IF(AND(A139&gt;='Campaign Data'!$B$5,A139&lt;='Campaign Data'!$C$5),"StyleRevolution","No Campaign"))))</f>
        <v>StyleRevolution</v>
      </c>
    </row>
    <row r="140" spans="1:8" x14ac:dyDescent="0.25">
      <c r="A140" s="27">
        <v>45684</v>
      </c>
      <c r="B140" s="19" t="s">
        <v>9</v>
      </c>
      <c r="C140" s="19">
        <v>1501</v>
      </c>
      <c r="D140" s="19">
        <v>75</v>
      </c>
      <c r="E140" s="19">
        <v>262569</v>
      </c>
      <c r="F140" s="19">
        <v>2.0099999999999998</v>
      </c>
      <c r="G140" s="19">
        <v>19119</v>
      </c>
      <c r="H140" s="20" t="str">
        <f>IF(AND(A140&gt;='Campaign Data'!$B$2,'Engagment Summary'!A140&lt;='Campaign Data'!$C$2),"EndofSeasonSale",IF(AND(A140&gt;='Campaign Data'!$B$3,A140&lt;='Campaign Data'!$C$3),"FashionUpgrade",IF(AND(A140&gt;='Campaign Data'!$B$4,A140&lt;='Campaign Data'!$C$4),"MyntraFestiveEdit",IF(AND(A140&gt;='Campaign Data'!$B$5,A140&lt;='Campaign Data'!$C$5),"StyleRevolution","No Campaign"))))</f>
        <v>StyleRevolution</v>
      </c>
    </row>
    <row r="141" spans="1:8" x14ac:dyDescent="0.25">
      <c r="A141" s="28">
        <v>45684</v>
      </c>
      <c r="B141" s="22" t="s">
        <v>10</v>
      </c>
      <c r="C141" s="22">
        <v>1411</v>
      </c>
      <c r="D141" s="22">
        <v>186</v>
      </c>
      <c r="E141" s="22">
        <v>461669</v>
      </c>
      <c r="F141" s="22">
        <v>3.72</v>
      </c>
      <c r="G141" s="22">
        <v>43999</v>
      </c>
      <c r="H141" s="20" t="str">
        <f>IF(AND(A141&gt;='Campaign Data'!$B$2,'Engagment Summary'!A141&lt;='Campaign Data'!$C$2),"EndofSeasonSale",IF(AND(A141&gt;='Campaign Data'!$B$3,A141&lt;='Campaign Data'!$C$3),"FashionUpgrade",IF(AND(A141&gt;='Campaign Data'!$B$4,A141&lt;='Campaign Data'!$C$4),"MyntraFestiveEdit",IF(AND(A141&gt;='Campaign Data'!$B$5,A141&lt;='Campaign Data'!$C$5),"StyleRevolution","No Campaign"))))</f>
        <v>StyleRevolution</v>
      </c>
    </row>
    <row r="142" spans="1:8" x14ac:dyDescent="0.25">
      <c r="A142" s="27">
        <v>45691</v>
      </c>
      <c r="B142" s="19" t="s">
        <v>7</v>
      </c>
      <c r="C142" s="19">
        <v>1556</v>
      </c>
      <c r="D142" s="19">
        <v>476</v>
      </c>
      <c r="E142" s="19">
        <v>351556</v>
      </c>
      <c r="F142" s="19">
        <v>3.89</v>
      </c>
      <c r="G142" s="19">
        <v>10825</v>
      </c>
      <c r="H142" s="20" t="str">
        <f>IF(AND(A142&gt;='Campaign Data'!$B$2,'Engagment Summary'!A142&lt;='Campaign Data'!$C$2),"EndofSeasonSale",IF(AND(A142&gt;='Campaign Data'!$B$3,A142&lt;='Campaign Data'!$C$3),"FashionUpgrade",IF(AND(A142&gt;='Campaign Data'!$B$4,A142&lt;='Campaign Data'!$C$4),"MyntraFestiveEdit",IF(AND(A142&gt;='Campaign Data'!$B$5,A142&lt;='Campaign Data'!$C$5),"StyleRevolution","No Campaign"))))</f>
        <v>StyleRevolution</v>
      </c>
    </row>
    <row r="143" spans="1:8" x14ac:dyDescent="0.25">
      <c r="A143" s="28">
        <v>45691</v>
      </c>
      <c r="B143" s="22" t="s">
        <v>8</v>
      </c>
      <c r="C143" s="22">
        <v>1159</v>
      </c>
      <c r="D143" s="22">
        <v>411</v>
      </c>
      <c r="E143" s="22">
        <v>135987</v>
      </c>
      <c r="F143" s="22">
        <v>8.6999999999999993</v>
      </c>
      <c r="G143" s="22">
        <v>40323</v>
      </c>
      <c r="H143" s="20" t="str">
        <f>IF(AND(A143&gt;='Campaign Data'!$B$2,'Engagment Summary'!A143&lt;='Campaign Data'!$C$2),"EndofSeasonSale",IF(AND(A143&gt;='Campaign Data'!$B$3,A143&lt;='Campaign Data'!$C$3),"FashionUpgrade",IF(AND(A143&gt;='Campaign Data'!$B$4,A143&lt;='Campaign Data'!$C$4),"MyntraFestiveEdit",IF(AND(A143&gt;='Campaign Data'!$B$5,A143&lt;='Campaign Data'!$C$5),"StyleRevolution","No Campaign"))))</f>
        <v>StyleRevolution</v>
      </c>
    </row>
    <row r="144" spans="1:8" x14ac:dyDescent="0.25">
      <c r="A144" s="27">
        <v>45691</v>
      </c>
      <c r="B144" s="19" t="s">
        <v>9</v>
      </c>
      <c r="C144" s="19">
        <v>927</v>
      </c>
      <c r="D144" s="19">
        <v>358</v>
      </c>
      <c r="E144" s="19">
        <v>177554</v>
      </c>
      <c r="F144" s="19">
        <v>6.95</v>
      </c>
      <c r="G144" s="19">
        <v>48270</v>
      </c>
      <c r="H144" s="20" t="str">
        <f>IF(AND(A144&gt;='Campaign Data'!$B$2,'Engagment Summary'!A144&lt;='Campaign Data'!$C$2),"EndofSeasonSale",IF(AND(A144&gt;='Campaign Data'!$B$3,A144&lt;='Campaign Data'!$C$3),"FashionUpgrade",IF(AND(A144&gt;='Campaign Data'!$B$4,A144&lt;='Campaign Data'!$C$4),"MyntraFestiveEdit",IF(AND(A144&gt;='Campaign Data'!$B$5,A144&lt;='Campaign Data'!$C$5),"StyleRevolution","No Campaign"))))</f>
        <v>StyleRevolution</v>
      </c>
    </row>
    <row r="145" spans="1:8" x14ac:dyDescent="0.25">
      <c r="A145" s="28">
        <v>45691</v>
      </c>
      <c r="B145" s="22" t="s">
        <v>10</v>
      </c>
      <c r="C145" s="22">
        <v>152</v>
      </c>
      <c r="D145" s="22">
        <v>355</v>
      </c>
      <c r="E145" s="22">
        <v>270766</v>
      </c>
      <c r="F145" s="22">
        <v>9.48</v>
      </c>
      <c r="G145" s="22">
        <v>18001</v>
      </c>
      <c r="H145" s="20" t="str">
        <f>IF(AND(A145&gt;='Campaign Data'!$B$2,'Engagment Summary'!A145&lt;='Campaign Data'!$C$2),"EndofSeasonSale",IF(AND(A145&gt;='Campaign Data'!$B$3,A145&lt;='Campaign Data'!$C$3),"FashionUpgrade",IF(AND(A145&gt;='Campaign Data'!$B$4,A145&lt;='Campaign Data'!$C$4),"MyntraFestiveEdit",IF(AND(A145&gt;='Campaign Data'!$B$5,A145&lt;='Campaign Data'!$C$5),"StyleRevolution","No Campaign"))))</f>
        <v>StyleRevolution</v>
      </c>
    </row>
    <row r="146" spans="1:8" x14ac:dyDescent="0.25">
      <c r="A146" s="27">
        <v>45698</v>
      </c>
      <c r="B146" s="19" t="s">
        <v>7</v>
      </c>
      <c r="C146" s="19">
        <v>1957</v>
      </c>
      <c r="D146" s="19">
        <v>234</v>
      </c>
      <c r="E146" s="19">
        <v>222126</v>
      </c>
      <c r="F146" s="19">
        <v>4.6100000000000003</v>
      </c>
      <c r="G146" s="19">
        <v>3314</v>
      </c>
      <c r="H146" s="20" t="str">
        <f>IF(AND(A146&gt;='Campaign Data'!$B$2,'Engagment Summary'!A146&lt;='Campaign Data'!$C$2),"EndofSeasonSale",IF(AND(A146&gt;='Campaign Data'!$B$3,A146&lt;='Campaign Data'!$C$3),"FashionUpgrade",IF(AND(A146&gt;='Campaign Data'!$B$4,A146&lt;='Campaign Data'!$C$4),"MyntraFestiveEdit",IF(AND(A146&gt;='Campaign Data'!$B$5,A146&lt;='Campaign Data'!$C$5),"StyleRevolution","No Campaign"))))</f>
        <v>StyleRevolution</v>
      </c>
    </row>
    <row r="147" spans="1:8" x14ac:dyDescent="0.25">
      <c r="A147" s="28">
        <v>45698</v>
      </c>
      <c r="B147" s="22" t="s">
        <v>8</v>
      </c>
      <c r="C147" s="22">
        <v>1294</v>
      </c>
      <c r="D147" s="22">
        <v>382</v>
      </c>
      <c r="E147" s="22">
        <v>309914</v>
      </c>
      <c r="F147" s="22">
        <v>8.0299999999999994</v>
      </c>
      <c r="G147" s="22">
        <v>23489</v>
      </c>
      <c r="H147" s="20" t="str">
        <f>IF(AND(A147&gt;='Campaign Data'!$B$2,'Engagment Summary'!A147&lt;='Campaign Data'!$C$2),"EndofSeasonSale",IF(AND(A147&gt;='Campaign Data'!$B$3,A147&lt;='Campaign Data'!$C$3),"FashionUpgrade",IF(AND(A147&gt;='Campaign Data'!$B$4,A147&lt;='Campaign Data'!$C$4),"MyntraFestiveEdit",IF(AND(A147&gt;='Campaign Data'!$B$5,A147&lt;='Campaign Data'!$C$5),"StyleRevolution","No Campaign"))))</f>
        <v>StyleRevolution</v>
      </c>
    </row>
    <row r="148" spans="1:8" x14ac:dyDescent="0.25">
      <c r="A148" s="27">
        <v>45698</v>
      </c>
      <c r="B148" s="19" t="s">
        <v>9</v>
      </c>
      <c r="C148" s="19">
        <v>1587</v>
      </c>
      <c r="D148" s="19">
        <v>385</v>
      </c>
      <c r="E148" s="19">
        <v>126582</v>
      </c>
      <c r="F148" s="19">
        <v>6.99</v>
      </c>
      <c r="G148" s="19">
        <v>42832</v>
      </c>
      <c r="H148" s="20" t="str">
        <f>IF(AND(A148&gt;='Campaign Data'!$B$2,'Engagment Summary'!A148&lt;='Campaign Data'!$C$2),"EndofSeasonSale",IF(AND(A148&gt;='Campaign Data'!$B$3,A148&lt;='Campaign Data'!$C$3),"FashionUpgrade",IF(AND(A148&gt;='Campaign Data'!$B$4,A148&lt;='Campaign Data'!$C$4),"MyntraFestiveEdit",IF(AND(A148&gt;='Campaign Data'!$B$5,A148&lt;='Campaign Data'!$C$5),"StyleRevolution","No Campaign"))))</f>
        <v>StyleRevolution</v>
      </c>
    </row>
    <row r="149" spans="1:8" x14ac:dyDescent="0.25">
      <c r="A149" s="28">
        <v>45698</v>
      </c>
      <c r="B149" s="22" t="s">
        <v>10</v>
      </c>
      <c r="C149" s="22">
        <v>1707</v>
      </c>
      <c r="D149" s="22">
        <v>263</v>
      </c>
      <c r="E149" s="22">
        <v>485280</v>
      </c>
      <c r="F149" s="22">
        <v>9.0299999999999994</v>
      </c>
      <c r="G149" s="22">
        <v>24494</v>
      </c>
      <c r="H149" s="20" t="str">
        <f>IF(AND(A149&gt;='Campaign Data'!$B$2,'Engagment Summary'!A149&lt;='Campaign Data'!$C$2),"EndofSeasonSale",IF(AND(A149&gt;='Campaign Data'!$B$3,A149&lt;='Campaign Data'!$C$3),"FashionUpgrade",IF(AND(A149&gt;='Campaign Data'!$B$4,A149&lt;='Campaign Data'!$C$4),"MyntraFestiveEdit",IF(AND(A149&gt;='Campaign Data'!$B$5,A149&lt;='Campaign Data'!$C$5),"StyleRevolution","No Campaign"))))</f>
        <v>StyleRevolution</v>
      </c>
    </row>
    <row r="150" spans="1:8" x14ac:dyDescent="0.25">
      <c r="A150" s="27">
        <v>45705</v>
      </c>
      <c r="B150" s="19" t="s">
        <v>7</v>
      </c>
      <c r="C150" s="19">
        <v>1138</v>
      </c>
      <c r="D150" s="19">
        <v>173</v>
      </c>
      <c r="E150" s="19">
        <v>453243</v>
      </c>
      <c r="F150" s="19">
        <v>2.86</v>
      </c>
      <c r="G150" s="19">
        <v>44097</v>
      </c>
      <c r="H150" s="20" t="str">
        <f>IF(AND(A150&gt;='Campaign Data'!$B$2,'Engagment Summary'!A150&lt;='Campaign Data'!$C$2),"EndofSeasonSale",IF(AND(A150&gt;='Campaign Data'!$B$3,A150&lt;='Campaign Data'!$C$3),"FashionUpgrade",IF(AND(A150&gt;='Campaign Data'!$B$4,A150&lt;='Campaign Data'!$C$4),"MyntraFestiveEdit",IF(AND(A150&gt;='Campaign Data'!$B$5,A150&lt;='Campaign Data'!$C$5),"StyleRevolution","No Campaign"))))</f>
        <v>No Campaign</v>
      </c>
    </row>
    <row r="151" spans="1:8" x14ac:dyDescent="0.25">
      <c r="A151" s="28">
        <v>45705</v>
      </c>
      <c r="B151" s="22" t="s">
        <v>8</v>
      </c>
      <c r="C151" s="22">
        <v>1895</v>
      </c>
      <c r="D151" s="22">
        <v>305</v>
      </c>
      <c r="E151" s="22">
        <v>104967</v>
      </c>
      <c r="F151" s="22">
        <v>3.85</v>
      </c>
      <c r="G151" s="22">
        <v>31853</v>
      </c>
      <c r="H151" s="20" t="str">
        <f>IF(AND(A151&gt;='Campaign Data'!$B$2,'Engagment Summary'!A151&lt;='Campaign Data'!$C$2),"EndofSeasonSale",IF(AND(A151&gt;='Campaign Data'!$B$3,A151&lt;='Campaign Data'!$C$3),"FashionUpgrade",IF(AND(A151&gt;='Campaign Data'!$B$4,A151&lt;='Campaign Data'!$C$4),"MyntraFestiveEdit",IF(AND(A151&gt;='Campaign Data'!$B$5,A151&lt;='Campaign Data'!$C$5),"StyleRevolution","No Campaign"))))</f>
        <v>No Campaign</v>
      </c>
    </row>
    <row r="152" spans="1:8" x14ac:dyDescent="0.25">
      <c r="A152" s="27">
        <v>45705</v>
      </c>
      <c r="B152" s="19" t="s">
        <v>9</v>
      </c>
      <c r="C152" s="19">
        <v>362</v>
      </c>
      <c r="D152" s="19">
        <v>399</v>
      </c>
      <c r="E152" s="19">
        <v>145608</v>
      </c>
      <c r="F152" s="19">
        <v>7.3</v>
      </c>
      <c r="G152" s="19">
        <v>37636</v>
      </c>
      <c r="H152" s="20" t="str">
        <f>IF(AND(A152&gt;='Campaign Data'!$B$2,'Engagment Summary'!A152&lt;='Campaign Data'!$C$2),"EndofSeasonSale",IF(AND(A152&gt;='Campaign Data'!$B$3,A152&lt;='Campaign Data'!$C$3),"FashionUpgrade",IF(AND(A152&gt;='Campaign Data'!$B$4,A152&lt;='Campaign Data'!$C$4),"MyntraFestiveEdit",IF(AND(A152&gt;='Campaign Data'!$B$5,A152&lt;='Campaign Data'!$C$5),"StyleRevolution","No Campaign"))))</f>
        <v>No Campaign</v>
      </c>
    </row>
    <row r="153" spans="1:8" x14ac:dyDescent="0.25">
      <c r="A153" s="28">
        <v>45705</v>
      </c>
      <c r="B153" s="22" t="s">
        <v>10</v>
      </c>
      <c r="C153" s="22">
        <v>1662</v>
      </c>
      <c r="D153" s="22">
        <v>487</v>
      </c>
      <c r="E153" s="22">
        <v>105980</v>
      </c>
      <c r="F153" s="22">
        <v>9.08</v>
      </c>
      <c r="G153" s="22">
        <v>22996</v>
      </c>
      <c r="H153" s="20" t="str">
        <f>IF(AND(A153&gt;='Campaign Data'!$B$2,'Engagment Summary'!A153&lt;='Campaign Data'!$C$2),"EndofSeasonSale",IF(AND(A153&gt;='Campaign Data'!$B$3,A153&lt;='Campaign Data'!$C$3),"FashionUpgrade",IF(AND(A153&gt;='Campaign Data'!$B$4,A153&lt;='Campaign Data'!$C$4),"MyntraFestiveEdit",IF(AND(A153&gt;='Campaign Data'!$B$5,A153&lt;='Campaign Data'!$C$5),"StyleRevolution","No Campaign"))))</f>
        <v>No Campaign</v>
      </c>
    </row>
    <row r="154" spans="1:8" x14ac:dyDescent="0.25">
      <c r="A154" s="27">
        <v>45712</v>
      </c>
      <c r="B154" s="19" t="s">
        <v>7</v>
      </c>
      <c r="C154" s="19">
        <v>1440</v>
      </c>
      <c r="D154" s="19">
        <v>65</v>
      </c>
      <c r="E154" s="19">
        <v>126524</v>
      </c>
      <c r="F154" s="19">
        <v>4.34</v>
      </c>
      <c r="G154" s="19">
        <v>49772</v>
      </c>
      <c r="H154" s="20" t="str">
        <f>IF(AND(A154&gt;='Campaign Data'!$B$2,'Engagment Summary'!A154&lt;='Campaign Data'!$C$2),"EndofSeasonSale",IF(AND(A154&gt;='Campaign Data'!$B$3,A154&lt;='Campaign Data'!$C$3),"FashionUpgrade",IF(AND(A154&gt;='Campaign Data'!$B$4,A154&lt;='Campaign Data'!$C$4),"MyntraFestiveEdit",IF(AND(A154&gt;='Campaign Data'!$B$5,A154&lt;='Campaign Data'!$C$5),"StyleRevolution","No Campaign"))))</f>
        <v>No Campaign</v>
      </c>
    </row>
    <row r="155" spans="1:8" x14ac:dyDescent="0.25">
      <c r="A155" s="28">
        <v>45712</v>
      </c>
      <c r="B155" s="22" t="s">
        <v>8</v>
      </c>
      <c r="C155" s="22">
        <v>1884</v>
      </c>
      <c r="D155" s="22">
        <v>177</v>
      </c>
      <c r="E155" s="22">
        <v>230448</v>
      </c>
      <c r="F155" s="22">
        <v>7.8</v>
      </c>
      <c r="G155" s="22">
        <v>22713</v>
      </c>
      <c r="H155" s="20" t="str">
        <f>IF(AND(A155&gt;='Campaign Data'!$B$2,'Engagment Summary'!A155&lt;='Campaign Data'!$C$2),"EndofSeasonSale",IF(AND(A155&gt;='Campaign Data'!$B$3,A155&lt;='Campaign Data'!$C$3),"FashionUpgrade",IF(AND(A155&gt;='Campaign Data'!$B$4,A155&lt;='Campaign Data'!$C$4),"MyntraFestiveEdit",IF(AND(A155&gt;='Campaign Data'!$B$5,A155&lt;='Campaign Data'!$C$5),"StyleRevolution","No Campaign"))))</f>
        <v>No Campaign</v>
      </c>
    </row>
    <row r="156" spans="1:8" x14ac:dyDescent="0.25">
      <c r="A156" s="27">
        <v>45712</v>
      </c>
      <c r="B156" s="19" t="s">
        <v>9</v>
      </c>
      <c r="C156" s="19">
        <v>861</v>
      </c>
      <c r="D156" s="19">
        <v>153</v>
      </c>
      <c r="E156" s="19">
        <v>317007</v>
      </c>
      <c r="F156" s="19">
        <v>3.85</v>
      </c>
      <c r="G156" s="19">
        <v>8718</v>
      </c>
      <c r="H156" s="20" t="str">
        <f>IF(AND(A156&gt;='Campaign Data'!$B$2,'Engagment Summary'!A156&lt;='Campaign Data'!$C$2),"EndofSeasonSale",IF(AND(A156&gt;='Campaign Data'!$B$3,A156&lt;='Campaign Data'!$C$3),"FashionUpgrade",IF(AND(A156&gt;='Campaign Data'!$B$4,A156&lt;='Campaign Data'!$C$4),"MyntraFestiveEdit",IF(AND(A156&gt;='Campaign Data'!$B$5,A156&lt;='Campaign Data'!$C$5),"StyleRevolution","No Campaign"))))</f>
        <v>No Campaign</v>
      </c>
    </row>
    <row r="157" spans="1:8" x14ac:dyDescent="0.25">
      <c r="A157" s="28">
        <v>45712</v>
      </c>
      <c r="B157" s="22" t="s">
        <v>10</v>
      </c>
      <c r="C157" s="22">
        <v>1063</v>
      </c>
      <c r="D157" s="22">
        <v>47</v>
      </c>
      <c r="E157" s="22">
        <v>464239</v>
      </c>
      <c r="F157" s="22">
        <v>6.58</v>
      </c>
      <c r="G157" s="22">
        <v>39031</v>
      </c>
      <c r="H157" s="20" t="str">
        <f>IF(AND(A157&gt;='Campaign Data'!$B$2,'Engagment Summary'!A157&lt;='Campaign Data'!$C$2),"EndofSeasonSale",IF(AND(A157&gt;='Campaign Data'!$B$3,A157&lt;='Campaign Data'!$C$3),"FashionUpgrade",IF(AND(A157&gt;='Campaign Data'!$B$4,A157&lt;='Campaign Data'!$C$4),"MyntraFestiveEdit",IF(AND(A157&gt;='Campaign Data'!$B$5,A157&lt;='Campaign Data'!$C$5),"StyleRevolution","No Campaign"))))</f>
        <v>No Campaign</v>
      </c>
    </row>
    <row r="158" spans="1:8" x14ac:dyDescent="0.25">
      <c r="A158" s="27">
        <v>45719</v>
      </c>
      <c r="B158" s="19" t="s">
        <v>7</v>
      </c>
      <c r="C158" s="19">
        <v>1371</v>
      </c>
      <c r="D158" s="19">
        <v>56</v>
      </c>
      <c r="E158" s="19">
        <v>257579</v>
      </c>
      <c r="F158" s="19">
        <v>8.6199999999999992</v>
      </c>
      <c r="G158" s="19">
        <v>33799</v>
      </c>
      <c r="H158" s="20" t="str">
        <f>IF(AND(A158&gt;='Campaign Data'!$B$2,'Engagment Summary'!A158&lt;='Campaign Data'!$C$2),"EndofSeasonSale",IF(AND(A158&gt;='Campaign Data'!$B$3,A158&lt;='Campaign Data'!$C$3),"FashionUpgrade",IF(AND(A158&gt;='Campaign Data'!$B$4,A158&lt;='Campaign Data'!$C$4),"MyntraFestiveEdit",IF(AND(A158&gt;='Campaign Data'!$B$5,A158&lt;='Campaign Data'!$C$5),"StyleRevolution","No Campaign"))))</f>
        <v>No Campaign</v>
      </c>
    </row>
    <row r="159" spans="1:8" x14ac:dyDescent="0.25">
      <c r="A159" s="28">
        <v>45719</v>
      </c>
      <c r="B159" s="22" t="s">
        <v>8</v>
      </c>
      <c r="C159" s="22">
        <v>345</v>
      </c>
      <c r="D159" s="22">
        <v>464</v>
      </c>
      <c r="E159" s="22">
        <v>366881</v>
      </c>
      <c r="F159" s="22">
        <v>4.55</v>
      </c>
      <c r="G159" s="22">
        <v>20553</v>
      </c>
      <c r="H159" s="20" t="str">
        <f>IF(AND(A159&gt;='Campaign Data'!$B$2,'Engagment Summary'!A159&lt;='Campaign Data'!$C$2),"EndofSeasonSale",IF(AND(A159&gt;='Campaign Data'!$B$3,A159&lt;='Campaign Data'!$C$3),"FashionUpgrade",IF(AND(A159&gt;='Campaign Data'!$B$4,A159&lt;='Campaign Data'!$C$4),"MyntraFestiveEdit",IF(AND(A159&gt;='Campaign Data'!$B$5,A159&lt;='Campaign Data'!$C$5),"StyleRevolution","No Campaign"))))</f>
        <v>No Campaign</v>
      </c>
    </row>
    <row r="160" spans="1:8" x14ac:dyDescent="0.25">
      <c r="A160" s="27">
        <v>45719</v>
      </c>
      <c r="B160" s="19" t="s">
        <v>9</v>
      </c>
      <c r="C160" s="19">
        <v>946</v>
      </c>
      <c r="D160" s="19">
        <v>47</v>
      </c>
      <c r="E160" s="19">
        <v>466575</v>
      </c>
      <c r="F160" s="19">
        <v>8.33</v>
      </c>
      <c r="G160" s="19">
        <v>10002</v>
      </c>
      <c r="H160" s="20" t="str">
        <f>IF(AND(A160&gt;='Campaign Data'!$B$2,'Engagment Summary'!A160&lt;='Campaign Data'!$C$2),"EndofSeasonSale",IF(AND(A160&gt;='Campaign Data'!$B$3,A160&lt;='Campaign Data'!$C$3),"FashionUpgrade",IF(AND(A160&gt;='Campaign Data'!$B$4,A160&lt;='Campaign Data'!$C$4),"MyntraFestiveEdit",IF(AND(A160&gt;='Campaign Data'!$B$5,A160&lt;='Campaign Data'!$C$5),"StyleRevolution","No Campaign"))))</f>
        <v>No Campaign</v>
      </c>
    </row>
    <row r="161" spans="1:8" x14ac:dyDescent="0.25">
      <c r="A161" s="28">
        <v>45719</v>
      </c>
      <c r="B161" s="22" t="s">
        <v>10</v>
      </c>
      <c r="C161" s="22">
        <v>510</v>
      </c>
      <c r="D161" s="22">
        <v>195</v>
      </c>
      <c r="E161" s="22">
        <v>224534</v>
      </c>
      <c r="F161" s="22">
        <v>9.4</v>
      </c>
      <c r="G161" s="22">
        <v>30987</v>
      </c>
      <c r="H161" s="20" t="str">
        <f>IF(AND(A161&gt;='Campaign Data'!$B$2,'Engagment Summary'!A161&lt;='Campaign Data'!$C$2),"EndofSeasonSale",IF(AND(A161&gt;='Campaign Data'!$B$3,A161&lt;='Campaign Data'!$C$3),"FashionUpgrade",IF(AND(A161&gt;='Campaign Data'!$B$4,A161&lt;='Campaign Data'!$C$4),"MyntraFestiveEdit",IF(AND(A161&gt;='Campaign Data'!$B$5,A161&lt;='Campaign Data'!$C$5),"StyleRevolution","No Campaign"))))</f>
        <v>No Campaign</v>
      </c>
    </row>
    <row r="162" spans="1:8" x14ac:dyDescent="0.25">
      <c r="A162" s="27">
        <v>45726</v>
      </c>
      <c r="B162" s="19" t="s">
        <v>7</v>
      </c>
      <c r="C162" s="19">
        <v>393</v>
      </c>
      <c r="D162" s="19">
        <v>181</v>
      </c>
      <c r="E162" s="19">
        <v>462142</v>
      </c>
      <c r="F162" s="19">
        <v>7.23</v>
      </c>
      <c r="G162" s="19">
        <v>6296</v>
      </c>
      <c r="H162" s="20" t="str">
        <f>IF(AND(A162&gt;='Campaign Data'!$B$2,'Engagment Summary'!A162&lt;='Campaign Data'!$C$2),"EndofSeasonSale",IF(AND(A162&gt;='Campaign Data'!$B$3,A162&lt;='Campaign Data'!$C$3),"FashionUpgrade",IF(AND(A162&gt;='Campaign Data'!$B$4,A162&lt;='Campaign Data'!$C$4),"MyntraFestiveEdit",IF(AND(A162&gt;='Campaign Data'!$B$5,A162&lt;='Campaign Data'!$C$5),"StyleRevolution","No Campaign"))))</f>
        <v>No Campaign</v>
      </c>
    </row>
    <row r="163" spans="1:8" x14ac:dyDescent="0.25">
      <c r="A163" s="28">
        <v>45726</v>
      </c>
      <c r="B163" s="22" t="s">
        <v>8</v>
      </c>
      <c r="C163" s="22">
        <v>1098</v>
      </c>
      <c r="D163" s="22">
        <v>190</v>
      </c>
      <c r="E163" s="22">
        <v>340842</v>
      </c>
      <c r="F163" s="22">
        <v>9.39</v>
      </c>
      <c r="G163" s="22">
        <v>21539</v>
      </c>
      <c r="H163" s="20" t="str">
        <f>IF(AND(A163&gt;='Campaign Data'!$B$2,'Engagment Summary'!A163&lt;='Campaign Data'!$C$2),"EndofSeasonSale",IF(AND(A163&gt;='Campaign Data'!$B$3,A163&lt;='Campaign Data'!$C$3),"FashionUpgrade",IF(AND(A163&gt;='Campaign Data'!$B$4,A163&lt;='Campaign Data'!$C$4),"MyntraFestiveEdit",IF(AND(A163&gt;='Campaign Data'!$B$5,A163&lt;='Campaign Data'!$C$5),"StyleRevolution","No Campaign"))))</f>
        <v>No Campaign</v>
      </c>
    </row>
    <row r="164" spans="1:8" x14ac:dyDescent="0.25">
      <c r="A164" s="27">
        <v>45726</v>
      </c>
      <c r="B164" s="19" t="s">
        <v>9</v>
      </c>
      <c r="C164" s="19">
        <v>1399</v>
      </c>
      <c r="D164" s="19">
        <v>49</v>
      </c>
      <c r="E164" s="19">
        <v>12471</v>
      </c>
      <c r="F164" s="19">
        <v>5.12</v>
      </c>
      <c r="G164" s="19">
        <v>14722</v>
      </c>
      <c r="H164" s="20" t="str">
        <f>IF(AND(A164&gt;='Campaign Data'!$B$2,'Engagment Summary'!A164&lt;='Campaign Data'!$C$2),"EndofSeasonSale",IF(AND(A164&gt;='Campaign Data'!$B$3,A164&lt;='Campaign Data'!$C$3),"FashionUpgrade",IF(AND(A164&gt;='Campaign Data'!$B$4,A164&lt;='Campaign Data'!$C$4),"MyntraFestiveEdit",IF(AND(A164&gt;='Campaign Data'!$B$5,A164&lt;='Campaign Data'!$C$5),"StyleRevolution","No Campaign"))))</f>
        <v>No Campaign</v>
      </c>
    </row>
    <row r="165" spans="1:8" x14ac:dyDescent="0.25">
      <c r="A165" s="28">
        <v>45726</v>
      </c>
      <c r="B165" s="22" t="s">
        <v>10</v>
      </c>
      <c r="C165" s="22">
        <v>1658</v>
      </c>
      <c r="D165" s="22">
        <v>416</v>
      </c>
      <c r="E165" s="22">
        <v>98397</v>
      </c>
      <c r="F165" s="22">
        <v>6.11</v>
      </c>
      <c r="G165" s="22">
        <v>11383</v>
      </c>
      <c r="H165" s="20" t="str">
        <f>IF(AND(A165&gt;='Campaign Data'!$B$2,'Engagment Summary'!A165&lt;='Campaign Data'!$C$2),"EndofSeasonSale",IF(AND(A165&gt;='Campaign Data'!$B$3,A165&lt;='Campaign Data'!$C$3),"FashionUpgrade",IF(AND(A165&gt;='Campaign Data'!$B$4,A165&lt;='Campaign Data'!$C$4),"MyntraFestiveEdit",IF(AND(A165&gt;='Campaign Data'!$B$5,A165&lt;='Campaign Data'!$C$5),"StyleRevolution","No Campaign"))))</f>
        <v>No Campaign</v>
      </c>
    </row>
    <row r="166" spans="1:8" x14ac:dyDescent="0.25">
      <c r="A166" s="27">
        <v>45733</v>
      </c>
      <c r="B166" s="19" t="s">
        <v>7</v>
      </c>
      <c r="C166" s="19">
        <v>1102</v>
      </c>
      <c r="D166" s="19">
        <v>422</v>
      </c>
      <c r="E166" s="19">
        <v>410330</v>
      </c>
      <c r="F166" s="19">
        <v>7.74</v>
      </c>
      <c r="G166" s="19">
        <v>9480</v>
      </c>
      <c r="H166" s="20" t="str">
        <f>IF(AND(A166&gt;='Campaign Data'!$B$2,'Engagment Summary'!A166&lt;='Campaign Data'!$C$2),"EndofSeasonSale",IF(AND(A166&gt;='Campaign Data'!$B$3,A166&lt;='Campaign Data'!$C$3),"FashionUpgrade",IF(AND(A166&gt;='Campaign Data'!$B$4,A166&lt;='Campaign Data'!$C$4),"MyntraFestiveEdit",IF(AND(A166&gt;='Campaign Data'!$B$5,A166&lt;='Campaign Data'!$C$5),"StyleRevolution","No Campaign"))))</f>
        <v>No Campaign</v>
      </c>
    </row>
    <row r="167" spans="1:8" x14ac:dyDescent="0.25">
      <c r="A167" s="28">
        <v>45733</v>
      </c>
      <c r="B167" s="22" t="s">
        <v>8</v>
      </c>
      <c r="C167" s="22">
        <v>1358</v>
      </c>
      <c r="D167" s="22">
        <v>242</v>
      </c>
      <c r="E167" s="22">
        <v>342129</v>
      </c>
      <c r="F167" s="22">
        <v>4.9400000000000004</v>
      </c>
      <c r="G167" s="22">
        <v>29116</v>
      </c>
      <c r="H167" s="20" t="str">
        <f>IF(AND(A167&gt;='Campaign Data'!$B$2,'Engagment Summary'!A167&lt;='Campaign Data'!$C$2),"EndofSeasonSale",IF(AND(A167&gt;='Campaign Data'!$B$3,A167&lt;='Campaign Data'!$C$3),"FashionUpgrade",IF(AND(A167&gt;='Campaign Data'!$B$4,A167&lt;='Campaign Data'!$C$4),"MyntraFestiveEdit",IF(AND(A167&gt;='Campaign Data'!$B$5,A167&lt;='Campaign Data'!$C$5),"StyleRevolution","No Campaign"))))</f>
        <v>No Campaign</v>
      </c>
    </row>
    <row r="168" spans="1:8" x14ac:dyDescent="0.25">
      <c r="A168" s="27">
        <v>45733</v>
      </c>
      <c r="B168" s="19" t="s">
        <v>9</v>
      </c>
      <c r="C168" s="19">
        <v>1077</v>
      </c>
      <c r="D168" s="19">
        <v>216</v>
      </c>
      <c r="E168" s="19">
        <v>12447</v>
      </c>
      <c r="F168" s="19">
        <v>1.8</v>
      </c>
      <c r="G168" s="19">
        <v>14068</v>
      </c>
      <c r="H168" s="20" t="str">
        <f>IF(AND(A168&gt;='Campaign Data'!$B$2,'Engagment Summary'!A168&lt;='Campaign Data'!$C$2),"EndofSeasonSale",IF(AND(A168&gt;='Campaign Data'!$B$3,A168&lt;='Campaign Data'!$C$3),"FashionUpgrade",IF(AND(A168&gt;='Campaign Data'!$B$4,A168&lt;='Campaign Data'!$C$4),"MyntraFestiveEdit",IF(AND(A168&gt;='Campaign Data'!$B$5,A168&lt;='Campaign Data'!$C$5),"StyleRevolution","No Campaign"))))</f>
        <v>No Campaign</v>
      </c>
    </row>
    <row r="169" spans="1:8" x14ac:dyDescent="0.25">
      <c r="A169" s="28">
        <v>45733</v>
      </c>
      <c r="B169" s="22" t="s">
        <v>10</v>
      </c>
      <c r="C169" s="22">
        <v>1596</v>
      </c>
      <c r="D169" s="22">
        <v>211</v>
      </c>
      <c r="E169" s="22">
        <v>17380</v>
      </c>
      <c r="F169" s="22">
        <v>8.64</v>
      </c>
      <c r="G169" s="22">
        <v>35801</v>
      </c>
      <c r="H169" s="20" t="str">
        <f>IF(AND(A169&gt;='Campaign Data'!$B$2,'Engagment Summary'!A169&lt;='Campaign Data'!$C$2),"EndofSeasonSale",IF(AND(A169&gt;='Campaign Data'!$B$3,A169&lt;='Campaign Data'!$C$3),"FashionUpgrade",IF(AND(A169&gt;='Campaign Data'!$B$4,A169&lt;='Campaign Data'!$C$4),"MyntraFestiveEdit",IF(AND(A169&gt;='Campaign Data'!$B$5,A169&lt;='Campaign Data'!$C$5),"StyleRevolution","No Campaign"))))</f>
        <v>No Campaign</v>
      </c>
    </row>
    <row r="170" spans="1:8" x14ac:dyDescent="0.25">
      <c r="A170" s="27">
        <v>45740</v>
      </c>
      <c r="B170" s="19" t="s">
        <v>7</v>
      </c>
      <c r="C170" s="19">
        <v>490</v>
      </c>
      <c r="D170" s="19">
        <v>29</v>
      </c>
      <c r="E170" s="19">
        <v>364810</v>
      </c>
      <c r="F170" s="19">
        <v>1.53</v>
      </c>
      <c r="G170" s="19">
        <v>49077</v>
      </c>
      <c r="H170" s="20" t="str">
        <f>IF(AND(A170&gt;='Campaign Data'!$B$2,'Engagment Summary'!A170&lt;='Campaign Data'!$C$2),"EndofSeasonSale",IF(AND(A170&gt;='Campaign Data'!$B$3,A170&lt;='Campaign Data'!$C$3),"FashionUpgrade",IF(AND(A170&gt;='Campaign Data'!$B$4,A170&lt;='Campaign Data'!$C$4),"MyntraFestiveEdit",IF(AND(A170&gt;='Campaign Data'!$B$5,A170&lt;='Campaign Data'!$C$5),"StyleRevolution","No Campaign"))))</f>
        <v>No Campaign</v>
      </c>
    </row>
    <row r="171" spans="1:8" x14ac:dyDescent="0.25">
      <c r="A171" s="28">
        <v>45740</v>
      </c>
      <c r="B171" s="22" t="s">
        <v>8</v>
      </c>
      <c r="C171" s="22">
        <v>609</v>
      </c>
      <c r="D171" s="22">
        <v>135</v>
      </c>
      <c r="E171" s="22">
        <v>373606</v>
      </c>
      <c r="F171" s="22">
        <v>8.52</v>
      </c>
      <c r="G171" s="22">
        <v>21453</v>
      </c>
      <c r="H171" s="20" t="str">
        <f>IF(AND(A171&gt;='Campaign Data'!$B$2,'Engagment Summary'!A171&lt;='Campaign Data'!$C$2),"EndofSeasonSale",IF(AND(A171&gt;='Campaign Data'!$B$3,A171&lt;='Campaign Data'!$C$3),"FashionUpgrade",IF(AND(A171&gt;='Campaign Data'!$B$4,A171&lt;='Campaign Data'!$C$4),"MyntraFestiveEdit",IF(AND(A171&gt;='Campaign Data'!$B$5,A171&lt;='Campaign Data'!$C$5),"StyleRevolution","No Campaign"))))</f>
        <v>No Campaign</v>
      </c>
    </row>
    <row r="172" spans="1:8" x14ac:dyDescent="0.25">
      <c r="A172" s="27">
        <v>45740</v>
      </c>
      <c r="B172" s="19" t="s">
        <v>9</v>
      </c>
      <c r="C172" s="19">
        <v>364</v>
      </c>
      <c r="D172" s="19">
        <v>72</v>
      </c>
      <c r="E172" s="19">
        <v>211090</v>
      </c>
      <c r="F172" s="19">
        <v>5.53</v>
      </c>
      <c r="G172" s="19">
        <v>21061</v>
      </c>
      <c r="H172" s="20" t="str">
        <f>IF(AND(A172&gt;='Campaign Data'!$B$2,'Engagment Summary'!A172&lt;='Campaign Data'!$C$2),"EndofSeasonSale",IF(AND(A172&gt;='Campaign Data'!$B$3,A172&lt;='Campaign Data'!$C$3),"FashionUpgrade",IF(AND(A172&gt;='Campaign Data'!$B$4,A172&lt;='Campaign Data'!$C$4),"MyntraFestiveEdit",IF(AND(A172&gt;='Campaign Data'!$B$5,A172&lt;='Campaign Data'!$C$5),"StyleRevolution","No Campaign"))))</f>
        <v>No Campaign</v>
      </c>
    </row>
    <row r="173" spans="1:8" x14ac:dyDescent="0.25">
      <c r="A173" s="28">
        <v>45740</v>
      </c>
      <c r="B173" s="22" t="s">
        <v>10</v>
      </c>
      <c r="C173" s="22">
        <v>442</v>
      </c>
      <c r="D173" s="22">
        <v>53</v>
      </c>
      <c r="E173" s="22">
        <v>441931</v>
      </c>
      <c r="F173" s="22">
        <v>1.87</v>
      </c>
      <c r="G173" s="22">
        <v>20059</v>
      </c>
      <c r="H173" s="20" t="str">
        <f>IF(AND(A173&gt;='Campaign Data'!$B$2,'Engagment Summary'!A173&lt;='Campaign Data'!$C$2),"EndofSeasonSale",IF(AND(A173&gt;='Campaign Data'!$B$3,A173&lt;='Campaign Data'!$C$3),"FashionUpgrade",IF(AND(A173&gt;='Campaign Data'!$B$4,A173&lt;='Campaign Data'!$C$4),"MyntraFestiveEdit",IF(AND(A173&gt;='Campaign Data'!$B$5,A173&lt;='Campaign Data'!$C$5),"StyleRevolution","No Campaign"))))</f>
        <v>No Campaign</v>
      </c>
    </row>
    <row r="174" spans="1:8" x14ac:dyDescent="0.25">
      <c r="A174" s="27">
        <v>45747</v>
      </c>
      <c r="B174" s="19" t="s">
        <v>7</v>
      </c>
      <c r="C174" s="19">
        <v>1033</v>
      </c>
      <c r="D174" s="19">
        <v>392</v>
      </c>
      <c r="E174" s="19">
        <v>282780</v>
      </c>
      <c r="F174" s="19">
        <v>6.27</v>
      </c>
      <c r="G174" s="19">
        <v>23140</v>
      </c>
      <c r="H174" s="20" t="str">
        <f>IF(AND(A174&gt;='Campaign Data'!$B$2,'Engagment Summary'!A174&lt;='Campaign Data'!$C$2),"EndofSeasonSale",IF(AND(A174&gt;='Campaign Data'!$B$3,A174&lt;='Campaign Data'!$C$3),"FashionUpgrade",IF(AND(A174&gt;='Campaign Data'!$B$4,A174&lt;='Campaign Data'!$C$4),"MyntraFestiveEdit",IF(AND(A174&gt;='Campaign Data'!$B$5,A174&lt;='Campaign Data'!$C$5),"StyleRevolution","No Campaign"))))</f>
        <v>No Campaign</v>
      </c>
    </row>
    <row r="175" spans="1:8" x14ac:dyDescent="0.25">
      <c r="A175" s="28">
        <v>45747</v>
      </c>
      <c r="B175" s="22" t="s">
        <v>8</v>
      </c>
      <c r="C175" s="22">
        <v>988</v>
      </c>
      <c r="D175" s="22">
        <v>474</v>
      </c>
      <c r="E175" s="22">
        <v>370070</v>
      </c>
      <c r="F175" s="22">
        <v>9.4600000000000009</v>
      </c>
      <c r="G175" s="22">
        <v>23461</v>
      </c>
      <c r="H175" s="20" t="str">
        <f>IF(AND(A175&gt;='Campaign Data'!$B$2,'Engagment Summary'!A175&lt;='Campaign Data'!$C$2),"EndofSeasonSale",IF(AND(A175&gt;='Campaign Data'!$B$3,A175&lt;='Campaign Data'!$C$3),"FashionUpgrade",IF(AND(A175&gt;='Campaign Data'!$B$4,A175&lt;='Campaign Data'!$C$4),"MyntraFestiveEdit",IF(AND(A175&gt;='Campaign Data'!$B$5,A175&lt;='Campaign Data'!$C$5),"StyleRevolution","No Campaign"))))</f>
        <v>No Campaign</v>
      </c>
    </row>
    <row r="176" spans="1:8" x14ac:dyDescent="0.25">
      <c r="A176" s="27">
        <v>45747</v>
      </c>
      <c r="B176" s="19" t="s">
        <v>9</v>
      </c>
      <c r="C176" s="19">
        <v>1946</v>
      </c>
      <c r="D176" s="19">
        <v>270</v>
      </c>
      <c r="E176" s="19">
        <v>198350</v>
      </c>
      <c r="F176" s="19">
        <v>7.5</v>
      </c>
      <c r="G176" s="19">
        <v>11805</v>
      </c>
      <c r="H176" s="20" t="str">
        <f>IF(AND(A176&gt;='Campaign Data'!$B$2,'Engagment Summary'!A176&lt;='Campaign Data'!$C$2),"EndofSeasonSale",IF(AND(A176&gt;='Campaign Data'!$B$3,A176&lt;='Campaign Data'!$C$3),"FashionUpgrade",IF(AND(A176&gt;='Campaign Data'!$B$4,A176&lt;='Campaign Data'!$C$4),"MyntraFestiveEdit",IF(AND(A176&gt;='Campaign Data'!$B$5,A176&lt;='Campaign Data'!$C$5),"StyleRevolution","No Campaign"))))</f>
        <v>No Campaign</v>
      </c>
    </row>
    <row r="177" spans="1:8" x14ac:dyDescent="0.25">
      <c r="A177" s="28">
        <v>45747</v>
      </c>
      <c r="B177" s="22" t="s">
        <v>10</v>
      </c>
      <c r="C177" s="22">
        <v>1957</v>
      </c>
      <c r="D177" s="22">
        <v>490</v>
      </c>
      <c r="E177" s="22">
        <v>435726</v>
      </c>
      <c r="F177" s="22">
        <v>4.7300000000000004</v>
      </c>
      <c r="G177" s="22">
        <v>15969</v>
      </c>
      <c r="H177" s="20" t="str">
        <f>IF(AND(A177&gt;='Campaign Data'!$B$2,'Engagment Summary'!A177&lt;='Campaign Data'!$C$2),"EndofSeasonSale",IF(AND(A177&gt;='Campaign Data'!$B$3,A177&lt;='Campaign Data'!$C$3),"FashionUpgrade",IF(AND(A177&gt;='Campaign Data'!$B$4,A177&lt;='Campaign Data'!$C$4),"MyntraFestiveEdit",IF(AND(A177&gt;='Campaign Data'!$B$5,A177&lt;='Campaign Data'!$C$5),"StyleRevolution","No Campaign"))))</f>
        <v>No Campaign</v>
      </c>
    </row>
    <row r="178" spans="1:8" x14ac:dyDescent="0.25">
      <c r="A178" s="27">
        <v>45754</v>
      </c>
      <c r="B178" s="19" t="s">
        <v>7</v>
      </c>
      <c r="C178" s="19">
        <v>559</v>
      </c>
      <c r="D178" s="19">
        <v>392</v>
      </c>
      <c r="E178" s="19">
        <v>78789</v>
      </c>
      <c r="F178" s="19">
        <v>3.19</v>
      </c>
      <c r="G178" s="19">
        <v>2436</v>
      </c>
      <c r="H178" s="20" t="str">
        <f>IF(AND(A178&gt;='Campaign Data'!$B$2,'Engagment Summary'!A178&lt;='Campaign Data'!$C$2),"EndofSeasonSale",IF(AND(A178&gt;='Campaign Data'!$B$3,A178&lt;='Campaign Data'!$C$3),"FashionUpgrade",IF(AND(A178&gt;='Campaign Data'!$B$4,A178&lt;='Campaign Data'!$C$4),"MyntraFestiveEdit",IF(AND(A178&gt;='Campaign Data'!$B$5,A178&lt;='Campaign Data'!$C$5),"StyleRevolution","No Campaign"))))</f>
        <v>No Campaign</v>
      </c>
    </row>
    <row r="179" spans="1:8" x14ac:dyDescent="0.25">
      <c r="A179" s="28">
        <v>45754</v>
      </c>
      <c r="B179" s="22" t="s">
        <v>8</v>
      </c>
      <c r="C179" s="22">
        <v>1307</v>
      </c>
      <c r="D179" s="22">
        <v>278</v>
      </c>
      <c r="E179" s="22">
        <v>98596</v>
      </c>
      <c r="F179" s="22">
        <v>2.4900000000000002</v>
      </c>
      <c r="G179" s="22">
        <v>47603</v>
      </c>
      <c r="H179" s="20" t="str">
        <f>IF(AND(A179&gt;='Campaign Data'!$B$2,'Engagment Summary'!A179&lt;='Campaign Data'!$C$2),"EndofSeasonSale",IF(AND(A179&gt;='Campaign Data'!$B$3,A179&lt;='Campaign Data'!$C$3),"FashionUpgrade",IF(AND(A179&gt;='Campaign Data'!$B$4,A179&lt;='Campaign Data'!$C$4),"MyntraFestiveEdit",IF(AND(A179&gt;='Campaign Data'!$B$5,A179&lt;='Campaign Data'!$C$5),"StyleRevolution","No Campaign"))))</f>
        <v>No Campaign</v>
      </c>
    </row>
    <row r="180" spans="1:8" x14ac:dyDescent="0.25">
      <c r="A180" s="27">
        <v>45754</v>
      </c>
      <c r="B180" s="19" t="s">
        <v>9</v>
      </c>
      <c r="C180" s="19">
        <v>1432</v>
      </c>
      <c r="D180" s="19">
        <v>425</v>
      </c>
      <c r="E180" s="19">
        <v>29589</v>
      </c>
      <c r="F180" s="19">
        <v>4.5</v>
      </c>
      <c r="G180" s="19">
        <v>42964</v>
      </c>
      <c r="H180" s="20" t="str">
        <f>IF(AND(A180&gt;='Campaign Data'!$B$2,'Engagment Summary'!A180&lt;='Campaign Data'!$C$2),"EndofSeasonSale",IF(AND(A180&gt;='Campaign Data'!$B$3,A180&lt;='Campaign Data'!$C$3),"FashionUpgrade",IF(AND(A180&gt;='Campaign Data'!$B$4,A180&lt;='Campaign Data'!$C$4),"MyntraFestiveEdit",IF(AND(A180&gt;='Campaign Data'!$B$5,A180&lt;='Campaign Data'!$C$5),"StyleRevolution","No Campaign"))))</f>
        <v>No Campaign</v>
      </c>
    </row>
    <row r="181" spans="1:8" x14ac:dyDescent="0.25">
      <c r="A181" s="28">
        <v>45754</v>
      </c>
      <c r="B181" s="22" t="s">
        <v>10</v>
      </c>
      <c r="C181" s="22">
        <v>623</v>
      </c>
      <c r="D181" s="22">
        <v>414</v>
      </c>
      <c r="E181" s="22">
        <v>290354</v>
      </c>
      <c r="F181" s="22">
        <v>6.49</v>
      </c>
      <c r="G181" s="22">
        <v>39923</v>
      </c>
      <c r="H181" s="20" t="str">
        <f>IF(AND(A181&gt;='Campaign Data'!$B$2,'Engagment Summary'!A181&lt;='Campaign Data'!$C$2),"EndofSeasonSale",IF(AND(A181&gt;='Campaign Data'!$B$3,A181&lt;='Campaign Data'!$C$3),"FashionUpgrade",IF(AND(A181&gt;='Campaign Data'!$B$4,A181&lt;='Campaign Data'!$C$4),"MyntraFestiveEdit",IF(AND(A181&gt;='Campaign Data'!$B$5,A181&lt;='Campaign Data'!$C$5),"StyleRevolution","No Campaign"))))</f>
        <v>No Campaign</v>
      </c>
    </row>
    <row r="182" spans="1:8" x14ac:dyDescent="0.25">
      <c r="A182" s="27">
        <v>45761</v>
      </c>
      <c r="B182" s="19" t="s">
        <v>7</v>
      </c>
      <c r="C182" s="19">
        <v>198</v>
      </c>
      <c r="D182" s="19">
        <v>358</v>
      </c>
      <c r="E182" s="19">
        <v>66682</v>
      </c>
      <c r="F182" s="19">
        <v>6.73</v>
      </c>
      <c r="G182" s="19">
        <v>2293</v>
      </c>
      <c r="H182" s="20" t="str">
        <f>IF(AND(A182&gt;='Campaign Data'!$B$2,'Engagment Summary'!A182&lt;='Campaign Data'!$C$2),"EndofSeasonSale",IF(AND(A182&gt;='Campaign Data'!$B$3,A182&lt;='Campaign Data'!$C$3),"FashionUpgrade",IF(AND(A182&gt;='Campaign Data'!$B$4,A182&lt;='Campaign Data'!$C$4),"MyntraFestiveEdit",IF(AND(A182&gt;='Campaign Data'!$B$5,A182&lt;='Campaign Data'!$C$5),"StyleRevolution","No Campaign"))))</f>
        <v>No Campaign</v>
      </c>
    </row>
    <row r="183" spans="1:8" x14ac:dyDescent="0.25">
      <c r="A183" s="28">
        <v>45761</v>
      </c>
      <c r="B183" s="22" t="s">
        <v>8</v>
      </c>
      <c r="C183" s="22">
        <v>198</v>
      </c>
      <c r="D183" s="22">
        <v>373</v>
      </c>
      <c r="E183" s="22">
        <v>70707</v>
      </c>
      <c r="F183" s="22">
        <v>4.83</v>
      </c>
      <c r="G183" s="22">
        <v>25920</v>
      </c>
      <c r="H183" s="20" t="str">
        <f>IF(AND(A183&gt;='Campaign Data'!$B$2,'Engagment Summary'!A183&lt;='Campaign Data'!$C$2),"EndofSeasonSale",IF(AND(A183&gt;='Campaign Data'!$B$3,A183&lt;='Campaign Data'!$C$3),"FashionUpgrade",IF(AND(A183&gt;='Campaign Data'!$B$4,A183&lt;='Campaign Data'!$C$4),"MyntraFestiveEdit",IF(AND(A183&gt;='Campaign Data'!$B$5,A183&lt;='Campaign Data'!$C$5),"StyleRevolution","No Campaign"))))</f>
        <v>No Campaign</v>
      </c>
    </row>
    <row r="184" spans="1:8" x14ac:dyDescent="0.25">
      <c r="A184" s="27">
        <v>45761</v>
      </c>
      <c r="B184" s="19" t="s">
        <v>9</v>
      </c>
      <c r="C184" s="19">
        <v>353</v>
      </c>
      <c r="D184" s="19">
        <v>300</v>
      </c>
      <c r="E184" s="19">
        <v>142507</v>
      </c>
      <c r="F184" s="19">
        <v>5.3</v>
      </c>
      <c r="G184" s="19">
        <v>11035</v>
      </c>
      <c r="H184" s="20" t="str">
        <f>IF(AND(A184&gt;='Campaign Data'!$B$2,'Engagment Summary'!A184&lt;='Campaign Data'!$C$2),"EndofSeasonSale",IF(AND(A184&gt;='Campaign Data'!$B$3,A184&lt;='Campaign Data'!$C$3),"FashionUpgrade",IF(AND(A184&gt;='Campaign Data'!$B$4,A184&lt;='Campaign Data'!$C$4),"MyntraFestiveEdit",IF(AND(A184&gt;='Campaign Data'!$B$5,A184&lt;='Campaign Data'!$C$5),"StyleRevolution","No Campaign"))))</f>
        <v>No Campaign</v>
      </c>
    </row>
    <row r="185" spans="1:8" x14ac:dyDescent="0.25">
      <c r="A185" s="28">
        <v>45761</v>
      </c>
      <c r="B185" s="22" t="s">
        <v>10</v>
      </c>
      <c r="C185" s="22">
        <v>520</v>
      </c>
      <c r="D185" s="22">
        <v>375</v>
      </c>
      <c r="E185" s="22">
        <v>369525</v>
      </c>
      <c r="F185" s="22">
        <v>6.54</v>
      </c>
      <c r="G185" s="22">
        <v>20733</v>
      </c>
      <c r="H185" s="20" t="str">
        <f>IF(AND(A185&gt;='Campaign Data'!$B$2,'Engagment Summary'!A185&lt;='Campaign Data'!$C$2),"EndofSeasonSale",IF(AND(A185&gt;='Campaign Data'!$B$3,A185&lt;='Campaign Data'!$C$3),"FashionUpgrade",IF(AND(A185&gt;='Campaign Data'!$B$4,A185&lt;='Campaign Data'!$C$4),"MyntraFestiveEdit",IF(AND(A185&gt;='Campaign Data'!$B$5,A185&lt;='Campaign Data'!$C$5),"StyleRevolution","No Campaign"))))</f>
        <v>No Campaign</v>
      </c>
    </row>
    <row r="186" spans="1:8" x14ac:dyDescent="0.25">
      <c r="A186" s="27">
        <v>45768</v>
      </c>
      <c r="B186" s="19" t="s">
        <v>7</v>
      </c>
      <c r="C186" s="19">
        <v>961</v>
      </c>
      <c r="D186" s="19">
        <v>358</v>
      </c>
      <c r="E186" s="19">
        <v>62942</v>
      </c>
      <c r="F186" s="19">
        <v>6.8</v>
      </c>
      <c r="G186" s="19">
        <v>18693</v>
      </c>
      <c r="H186" s="20" t="str">
        <f>IF(AND(A186&gt;='Campaign Data'!$B$2,'Engagment Summary'!A186&lt;='Campaign Data'!$C$2),"EndofSeasonSale",IF(AND(A186&gt;='Campaign Data'!$B$3,A186&lt;='Campaign Data'!$C$3),"FashionUpgrade",IF(AND(A186&gt;='Campaign Data'!$B$4,A186&lt;='Campaign Data'!$C$4),"MyntraFestiveEdit",IF(AND(A186&gt;='Campaign Data'!$B$5,A186&lt;='Campaign Data'!$C$5),"StyleRevolution","No Campaign"))))</f>
        <v>No Campaign</v>
      </c>
    </row>
    <row r="187" spans="1:8" x14ac:dyDescent="0.25">
      <c r="A187" s="28">
        <v>45768</v>
      </c>
      <c r="B187" s="22" t="s">
        <v>8</v>
      </c>
      <c r="C187" s="22">
        <v>1375</v>
      </c>
      <c r="D187" s="22">
        <v>330</v>
      </c>
      <c r="E187" s="22">
        <v>377382</v>
      </c>
      <c r="F187" s="22">
        <v>2.6</v>
      </c>
      <c r="G187" s="22">
        <v>7875</v>
      </c>
      <c r="H187" s="20" t="str">
        <f>IF(AND(A187&gt;='Campaign Data'!$B$2,'Engagment Summary'!A187&lt;='Campaign Data'!$C$2),"EndofSeasonSale",IF(AND(A187&gt;='Campaign Data'!$B$3,A187&lt;='Campaign Data'!$C$3),"FashionUpgrade",IF(AND(A187&gt;='Campaign Data'!$B$4,A187&lt;='Campaign Data'!$C$4),"MyntraFestiveEdit",IF(AND(A187&gt;='Campaign Data'!$B$5,A187&lt;='Campaign Data'!$C$5),"StyleRevolution","No Campaign"))))</f>
        <v>No Campaign</v>
      </c>
    </row>
    <row r="188" spans="1:8" x14ac:dyDescent="0.25">
      <c r="A188" s="27">
        <v>45768</v>
      </c>
      <c r="B188" s="19" t="s">
        <v>9</v>
      </c>
      <c r="C188" s="19">
        <v>1147</v>
      </c>
      <c r="D188" s="19">
        <v>388</v>
      </c>
      <c r="E188" s="19">
        <v>333851</v>
      </c>
      <c r="F188" s="19">
        <v>2.44</v>
      </c>
      <c r="G188" s="19">
        <v>8471</v>
      </c>
      <c r="H188" s="20" t="str">
        <f>IF(AND(A188&gt;='Campaign Data'!$B$2,'Engagment Summary'!A188&lt;='Campaign Data'!$C$2),"EndofSeasonSale",IF(AND(A188&gt;='Campaign Data'!$B$3,A188&lt;='Campaign Data'!$C$3),"FashionUpgrade",IF(AND(A188&gt;='Campaign Data'!$B$4,A188&lt;='Campaign Data'!$C$4),"MyntraFestiveEdit",IF(AND(A188&gt;='Campaign Data'!$B$5,A188&lt;='Campaign Data'!$C$5),"StyleRevolution","No Campaign"))))</f>
        <v>No Campaign</v>
      </c>
    </row>
    <row r="189" spans="1:8" x14ac:dyDescent="0.25">
      <c r="A189" s="28">
        <v>45768</v>
      </c>
      <c r="B189" s="22" t="s">
        <v>10</v>
      </c>
      <c r="C189" s="22">
        <v>1707</v>
      </c>
      <c r="D189" s="22">
        <v>74</v>
      </c>
      <c r="E189" s="22">
        <v>270958</v>
      </c>
      <c r="F189" s="22">
        <v>3.09</v>
      </c>
      <c r="G189" s="22">
        <v>14090</v>
      </c>
      <c r="H189" s="20" t="str">
        <f>IF(AND(A189&gt;='Campaign Data'!$B$2,'Engagment Summary'!A189&lt;='Campaign Data'!$C$2),"EndofSeasonSale",IF(AND(A189&gt;='Campaign Data'!$B$3,A189&lt;='Campaign Data'!$C$3),"FashionUpgrade",IF(AND(A189&gt;='Campaign Data'!$B$4,A189&lt;='Campaign Data'!$C$4),"MyntraFestiveEdit",IF(AND(A189&gt;='Campaign Data'!$B$5,A189&lt;='Campaign Data'!$C$5),"StyleRevolution","No Campaign"))))</f>
        <v>No Campaign</v>
      </c>
    </row>
    <row r="190" spans="1:8" x14ac:dyDescent="0.25">
      <c r="A190" s="27">
        <v>45775</v>
      </c>
      <c r="B190" s="19" t="s">
        <v>7</v>
      </c>
      <c r="C190" s="19">
        <v>1693</v>
      </c>
      <c r="D190" s="19">
        <v>154</v>
      </c>
      <c r="E190" s="19">
        <v>445944</v>
      </c>
      <c r="F190" s="19">
        <v>5.69</v>
      </c>
      <c r="G190" s="19">
        <v>14216</v>
      </c>
      <c r="H190" s="20" t="str">
        <f>IF(AND(A190&gt;='Campaign Data'!$B$2,'Engagment Summary'!A190&lt;='Campaign Data'!$C$2),"EndofSeasonSale",IF(AND(A190&gt;='Campaign Data'!$B$3,A190&lt;='Campaign Data'!$C$3),"FashionUpgrade",IF(AND(A190&gt;='Campaign Data'!$B$4,A190&lt;='Campaign Data'!$C$4),"MyntraFestiveEdit",IF(AND(A190&gt;='Campaign Data'!$B$5,A190&lt;='Campaign Data'!$C$5),"StyleRevolution","No Campaign"))))</f>
        <v>No Campaign</v>
      </c>
    </row>
    <row r="191" spans="1:8" x14ac:dyDescent="0.25">
      <c r="A191" s="28">
        <v>45775</v>
      </c>
      <c r="B191" s="22" t="s">
        <v>8</v>
      </c>
      <c r="C191" s="22">
        <v>833</v>
      </c>
      <c r="D191" s="22">
        <v>380</v>
      </c>
      <c r="E191" s="22">
        <v>224830</v>
      </c>
      <c r="F191" s="22">
        <v>3.86</v>
      </c>
      <c r="G191" s="22">
        <v>3582</v>
      </c>
      <c r="H191" s="20" t="str">
        <f>IF(AND(A191&gt;='Campaign Data'!$B$2,'Engagment Summary'!A191&lt;='Campaign Data'!$C$2),"EndofSeasonSale",IF(AND(A191&gt;='Campaign Data'!$B$3,A191&lt;='Campaign Data'!$C$3),"FashionUpgrade",IF(AND(A191&gt;='Campaign Data'!$B$4,A191&lt;='Campaign Data'!$C$4),"MyntraFestiveEdit",IF(AND(A191&gt;='Campaign Data'!$B$5,A191&lt;='Campaign Data'!$C$5),"StyleRevolution","No Campaign"))))</f>
        <v>No Campaign</v>
      </c>
    </row>
    <row r="192" spans="1:8" x14ac:dyDescent="0.25">
      <c r="A192" s="27">
        <v>45775</v>
      </c>
      <c r="B192" s="19" t="s">
        <v>9</v>
      </c>
      <c r="C192" s="19">
        <v>1222</v>
      </c>
      <c r="D192" s="19">
        <v>274</v>
      </c>
      <c r="E192" s="19">
        <v>487289</v>
      </c>
      <c r="F192" s="19">
        <v>3.16</v>
      </c>
      <c r="G192" s="19">
        <v>32500</v>
      </c>
      <c r="H192" s="20" t="str">
        <f>IF(AND(A192&gt;='Campaign Data'!$B$2,'Engagment Summary'!A192&lt;='Campaign Data'!$C$2),"EndofSeasonSale",IF(AND(A192&gt;='Campaign Data'!$B$3,A192&lt;='Campaign Data'!$C$3),"FashionUpgrade",IF(AND(A192&gt;='Campaign Data'!$B$4,A192&lt;='Campaign Data'!$C$4),"MyntraFestiveEdit",IF(AND(A192&gt;='Campaign Data'!$B$5,A192&lt;='Campaign Data'!$C$5),"StyleRevolution","No Campaign"))))</f>
        <v>No Campaign</v>
      </c>
    </row>
    <row r="193" spans="1:8" x14ac:dyDescent="0.25">
      <c r="A193" s="28">
        <v>45775</v>
      </c>
      <c r="B193" s="22" t="s">
        <v>10</v>
      </c>
      <c r="C193" s="22">
        <v>777</v>
      </c>
      <c r="D193" s="22">
        <v>140</v>
      </c>
      <c r="E193" s="22">
        <v>11435</v>
      </c>
      <c r="F193" s="22">
        <v>1.6</v>
      </c>
      <c r="G193" s="22">
        <v>6832</v>
      </c>
      <c r="H193" s="20" t="str">
        <f>IF(AND(A193&gt;='Campaign Data'!$B$2,'Engagment Summary'!A193&lt;='Campaign Data'!$C$2),"EndofSeasonSale",IF(AND(A193&gt;='Campaign Data'!$B$3,A193&lt;='Campaign Data'!$C$3),"FashionUpgrade",IF(AND(A193&gt;='Campaign Data'!$B$4,A193&lt;='Campaign Data'!$C$4),"MyntraFestiveEdit",IF(AND(A193&gt;='Campaign Data'!$B$5,A193&lt;='Campaign Data'!$C$5),"StyleRevolution","No Campaign"))))</f>
        <v>No Campaign</v>
      </c>
    </row>
    <row r="194" spans="1:8" x14ac:dyDescent="0.25">
      <c r="A194" s="27">
        <v>45782</v>
      </c>
      <c r="B194" s="19" t="s">
        <v>7</v>
      </c>
      <c r="C194" s="19">
        <v>1957</v>
      </c>
      <c r="D194" s="19">
        <v>76</v>
      </c>
      <c r="E194" s="19">
        <v>447902</v>
      </c>
      <c r="F194" s="19">
        <v>6.09</v>
      </c>
      <c r="G194" s="19">
        <v>33381</v>
      </c>
      <c r="H194" s="20" t="str">
        <f>IF(AND(A194&gt;='Campaign Data'!$B$2,'Engagment Summary'!A194&lt;='Campaign Data'!$C$2),"EndofSeasonSale",IF(AND(A194&gt;='Campaign Data'!$B$3,A194&lt;='Campaign Data'!$C$3),"FashionUpgrade",IF(AND(A194&gt;='Campaign Data'!$B$4,A194&lt;='Campaign Data'!$C$4),"MyntraFestiveEdit",IF(AND(A194&gt;='Campaign Data'!$B$5,A194&lt;='Campaign Data'!$C$5),"StyleRevolution","No Campaign"))))</f>
        <v>No Campaign</v>
      </c>
    </row>
    <row r="195" spans="1:8" x14ac:dyDescent="0.25">
      <c r="A195" s="28">
        <v>45782</v>
      </c>
      <c r="B195" s="22" t="s">
        <v>8</v>
      </c>
      <c r="C195" s="22">
        <v>405</v>
      </c>
      <c r="D195" s="22">
        <v>66</v>
      </c>
      <c r="E195" s="22">
        <v>418696</v>
      </c>
      <c r="F195" s="22">
        <v>5.59</v>
      </c>
      <c r="G195" s="22">
        <v>48419</v>
      </c>
      <c r="H195" s="20" t="str">
        <f>IF(AND(A195&gt;='Campaign Data'!$B$2,'Engagment Summary'!A195&lt;='Campaign Data'!$C$2),"EndofSeasonSale",IF(AND(A195&gt;='Campaign Data'!$B$3,A195&lt;='Campaign Data'!$C$3),"FashionUpgrade",IF(AND(A195&gt;='Campaign Data'!$B$4,A195&lt;='Campaign Data'!$C$4),"MyntraFestiveEdit",IF(AND(A195&gt;='Campaign Data'!$B$5,A195&lt;='Campaign Data'!$C$5),"StyleRevolution","No Campaign"))))</f>
        <v>No Campaign</v>
      </c>
    </row>
    <row r="196" spans="1:8" x14ac:dyDescent="0.25">
      <c r="A196" s="27">
        <v>45782</v>
      </c>
      <c r="B196" s="19" t="s">
        <v>9</v>
      </c>
      <c r="C196" s="19">
        <v>1581</v>
      </c>
      <c r="D196" s="19">
        <v>71</v>
      </c>
      <c r="E196" s="19">
        <v>484364</v>
      </c>
      <c r="F196" s="19">
        <v>3.55</v>
      </c>
      <c r="G196" s="19">
        <v>16149</v>
      </c>
      <c r="H196" s="20" t="str">
        <f>IF(AND(A196&gt;='Campaign Data'!$B$2,'Engagment Summary'!A196&lt;='Campaign Data'!$C$2),"EndofSeasonSale",IF(AND(A196&gt;='Campaign Data'!$B$3,A196&lt;='Campaign Data'!$C$3),"FashionUpgrade",IF(AND(A196&gt;='Campaign Data'!$B$4,A196&lt;='Campaign Data'!$C$4),"MyntraFestiveEdit",IF(AND(A196&gt;='Campaign Data'!$B$5,A196&lt;='Campaign Data'!$C$5),"StyleRevolution","No Campaign"))))</f>
        <v>No Campaign</v>
      </c>
    </row>
    <row r="197" spans="1:8" x14ac:dyDescent="0.25">
      <c r="A197" s="28">
        <v>45782</v>
      </c>
      <c r="B197" s="22" t="s">
        <v>10</v>
      </c>
      <c r="C197" s="22">
        <v>1035</v>
      </c>
      <c r="D197" s="22">
        <v>171</v>
      </c>
      <c r="E197" s="22">
        <v>148477</v>
      </c>
      <c r="F197" s="22">
        <v>5.21</v>
      </c>
      <c r="G197" s="22">
        <v>7541</v>
      </c>
      <c r="H197" s="20" t="str">
        <f>IF(AND(A197&gt;='Campaign Data'!$B$2,'Engagment Summary'!A197&lt;='Campaign Data'!$C$2),"EndofSeasonSale",IF(AND(A197&gt;='Campaign Data'!$B$3,A197&lt;='Campaign Data'!$C$3),"FashionUpgrade",IF(AND(A197&gt;='Campaign Data'!$B$4,A197&lt;='Campaign Data'!$C$4),"MyntraFestiveEdit",IF(AND(A197&gt;='Campaign Data'!$B$5,A197&lt;='Campaign Data'!$C$5),"StyleRevolution","No Campaign"))))</f>
        <v>No Campaign</v>
      </c>
    </row>
    <row r="198" spans="1:8" x14ac:dyDescent="0.25">
      <c r="A198" s="27">
        <v>45789</v>
      </c>
      <c r="B198" s="19" t="s">
        <v>7</v>
      </c>
      <c r="C198" s="19">
        <v>1765</v>
      </c>
      <c r="D198" s="19">
        <v>109</v>
      </c>
      <c r="E198" s="19">
        <v>468301</v>
      </c>
      <c r="F198" s="19">
        <v>1.82</v>
      </c>
      <c r="G198" s="19">
        <v>20042</v>
      </c>
      <c r="H198" s="20" t="str">
        <f>IF(AND(A198&gt;='Campaign Data'!$B$2,'Engagment Summary'!A198&lt;='Campaign Data'!$C$2),"EndofSeasonSale",IF(AND(A198&gt;='Campaign Data'!$B$3,A198&lt;='Campaign Data'!$C$3),"FashionUpgrade",IF(AND(A198&gt;='Campaign Data'!$B$4,A198&lt;='Campaign Data'!$C$4),"MyntraFestiveEdit",IF(AND(A198&gt;='Campaign Data'!$B$5,A198&lt;='Campaign Data'!$C$5),"StyleRevolution","No Campaign"))))</f>
        <v>No Campaign</v>
      </c>
    </row>
    <row r="199" spans="1:8" x14ac:dyDescent="0.25">
      <c r="A199" s="28">
        <v>45789</v>
      </c>
      <c r="B199" s="22" t="s">
        <v>8</v>
      </c>
      <c r="C199" s="22">
        <v>837</v>
      </c>
      <c r="D199" s="22">
        <v>430</v>
      </c>
      <c r="E199" s="22">
        <v>364820</v>
      </c>
      <c r="F199" s="22">
        <v>4</v>
      </c>
      <c r="G199" s="22">
        <v>49400</v>
      </c>
      <c r="H199" s="20" t="str">
        <f>IF(AND(A199&gt;='Campaign Data'!$B$2,'Engagment Summary'!A199&lt;='Campaign Data'!$C$2),"EndofSeasonSale",IF(AND(A199&gt;='Campaign Data'!$B$3,A199&lt;='Campaign Data'!$C$3),"FashionUpgrade",IF(AND(A199&gt;='Campaign Data'!$B$4,A199&lt;='Campaign Data'!$C$4),"MyntraFestiveEdit",IF(AND(A199&gt;='Campaign Data'!$B$5,A199&lt;='Campaign Data'!$C$5),"StyleRevolution","No Campaign"))))</f>
        <v>No Campaign</v>
      </c>
    </row>
    <row r="200" spans="1:8" x14ac:dyDescent="0.25">
      <c r="A200" s="27">
        <v>45789</v>
      </c>
      <c r="B200" s="19" t="s">
        <v>9</v>
      </c>
      <c r="C200" s="19">
        <v>337</v>
      </c>
      <c r="D200" s="19">
        <v>68</v>
      </c>
      <c r="E200" s="19">
        <v>456298</v>
      </c>
      <c r="F200" s="19">
        <v>7.57</v>
      </c>
      <c r="G200" s="19">
        <v>4007</v>
      </c>
      <c r="H200" s="20" t="str">
        <f>IF(AND(A200&gt;='Campaign Data'!$B$2,'Engagment Summary'!A200&lt;='Campaign Data'!$C$2),"EndofSeasonSale",IF(AND(A200&gt;='Campaign Data'!$B$3,A200&lt;='Campaign Data'!$C$3),"FashionUpgrade",IF(AND(A200&gt;='Campaign Data'!$B$4,A200&lt;='Campaign Data'!$C$4),"MyntraFestiveEdit",IF(AND(A200&gt;='Campaign Data'!$B$5,A200&lt;='Campaign Data'!$C$5),"StyleRevolution","No Campaign"))))</f>
        <v>No Campaign</v>
      </c>
    </row>
    <row r="201" spans="1:8" x14ac:dyDescent="0.25">
      <c r="A201" s="29">
        <v>45789</v>
      </c>
      <c r="B201" s="9" t="s">
        <v>10</v>
      </c>
      <c r="C201" s="9">
        <v>119</v>
      </c>
      <c r="D201" s="9">
        <v>456</v>
      </c>
      <c r="E201" s="9">
        <v>82558</v>
      </c>
      <c r="F201" s="9">
        <v>6.81</v>
      </c>
      <c r="G201" s="9">
        <v>12174</v>
      </c>
      <c r="H201" s="20" t="str">
        <f>IF(AND(A201&gt;='Campaign Data'!$B$2,'Engagment Summary'!A201&lt;='Campaign Data'!$C$2),"EndofSeasonSale",IF(AND(A201&gt;='Campaign Data'!$B$3,A201&lt;='Campaign Data'!$C$3),"FashionUpgrade",IF(AND(A201&gt;='Campaign Data'!$B$4,A201&lt;='Campaign Data'!$C$4),"MyntraFestiveEdit",IF(AND(A201&gt;='Campaign Data'!$B$5,A201&lt;='Campaign Data'!$C$5),"StyleRevolution","No Campaign"))))</f>
        <v>No Campaign</v>
      </c>
    </row>
  </sheetData>
  <mergeCells count="1">
    <mergeCell ref="J5:S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82179-30F3-4783-99CA-E7E04B39AA86}">
  <dimension ref="A1:F10"/>
  <sheetViews>
    <sheetView workbookViewId="0">
      <selection activeCell="C4" sqref="C4"/>
    </sheetView>
  </sheetViews>
  <sheetFormatPr defaultRowHeight="15" x14ac:dyDescent="0.25"/>
  <cols>
    <col min="1" max="1" width="18.5703125" bestFit="1" customWidth="1"/>
    <col min="2" max="2" width="12.7109375" bestFit="1" customWidth="1"/>
    <col min="3" max="3" width="11.85546875" bestFit="1" customWidth="1"/>
    <col min="4" max="4" width="28.7109375" bestFit="1" customWidth="1"/>
    <col min="5" max="5" width="14.85546875" bestFit="1" customWidth="1"/>
    <col min="6" max="6" width="19.42578125" bestFit="1" customWidth="1"/>
  </cols>
  <sheetData>
    <row r="1" spans="1:6" x14ac:dyDescent="0.25">
      <c r="A1" s="15" t="s">
        <v>21</v>
      </c>
      <c r="B1" s="16" t="s">
        <v>343</v>
      </c>
      <c r="C1" s="16" t="s">
        <v>344</v>
      </c>
      <c r="D1" s="16" t="s">
        <v>345</v>
      </c>
      <c r="E1" s="16" t="s">
        <v>346</v>
      </c>
      <c r="F1" s="17" t="s">
        <v>347</v>
      </c>
    </row>
    <row r="2" spans="1:6" x14ac:dyDescent="0.25">
      <c r="A2" s="18" t="s">
        <v>31</v>
      </c>
      <c r="B2" s="24">
        <v>45453</v>
      </c>
      <c r="C2" s="24">
        <v>45478</v>
      </c>
      <c r="D2" s="19" t="s">
        <v>348</v>
      </c>
      <c r="E2" s="19">
        <v>180000</v>
      </c>
      <c r="F2" s="20" t="s">
        <v>349</v>
      </c>
    </row>
    <row r="3" spans="1:6" x14ac:dyDescent="0.25">
      <c r="A3" s="21" t="s">
        <v>26</v>
      </c>
      <c r="B3" s="25">
        <v>45505</v>
      </c>
      <c r="C3" s="25">
        <v>45535</v>
      </c>
      <c r="D3" s="22" t="s">
        <v>350</v>
      </c>
      <c r="E3" s="22">
        <v>160000</v>
      </c>
      <c r="F3" s="23" t="s">
        <v>351</v>
      </c>
    </row>
    <row r="4" spans="1:6" x14ac:dyDescent="0.25">
      <c r="A4" s="18" t="s">
        <v>38</v>
      </c>
      <c r="B4" s="24">
        <v>45570</v>
      </c>
      <c r="C4" s="24">
        <v>45601</v>
      </c>
      <c r="D4" s="19" t="s">
        <v>352</v>
      </c>
      <c r="E4" s="19">
        <v>220000</v>
      </c>
      <c r="F4" s="20" t="s">
        <v>353</v>
      </c>
    </row>
    <row r="5" spans="1:6" x14ac:dyDescent="0.25">
      <c r="A5" s="11" t="s">
        <v>49</v>
      </c>
      <c r="B5" s="26">
        <v>45667</v>
      </c>
      <c r="C5" s="26">
        <v>45698</v>
      </c>
      <c r="D5" s="9" t="s">
        <v>354</v>
      </c>
      <c r="E5" s="9">
        <v>200000</v>
      </c>
      <c r="F5" s="10" t="s">
        <v>355</v>
      </c>
    </row>
    <row r="10" spans="1:6" ht="14.25" customHeight="1" x14ac:dyDescent="0.4">
      <c r="A10" s="3"/>
      <c r="C1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5B613-80F6-4AF6-8FE7-6800092E437A}">
  <dimension ref="A3:G11"/>
  <sheetViews>
    <sheetView workbookViewId="0">
      <selection activeCell="B7" sqref="B7"/>
    </sheetView>
  </sheetViews>
  <sheetFormatPr defaultRowHeight="15" x14ac:dyDescent="0.25"/>
  <cols>
    <col min="1" max="1" width="16.5703125" bestFit="1" customWidth="1"/>
    <col min="2" max="2" width="19.140625" bestFit="1" customWidth="1"/>
    <col min="3" max="3" width="23.42578125" bestFit="1" customWidth="1"/>
    <col min="4" max="4" width="12.42578125" bestFit="1" customWidth="1"/>
    <col min="5" max="5" width="16.7109375" bestFit="1" customWidth="1"/>
    <col min="6" max="6" width="13.42578125" bestFit="1" customWidth="1"/>
    <col min="7" max="7" width="17.7109375" bestFit="1" customWidth="1"/>
  </cols>
  <sheetData>
    <row r="3" spans="1:7" x14ac:dyDescent="0.25">
      <c r="A3" s="4" t="s">
        <v>357</v>
      </c>
      <c r="B3" t="s">
        <v>358</v>
      </c>
      <c r="C3" t="s">
        <v>359</v>
      </c>
      <c r="D3" t="s">
        <v>360</v>
      </c>
      <c r="E3" t="s">
        <v>361</v>
      </c>
      <c r="F3" t="s">
        <v>362</v>
      </c>
      <c r="G3" t="s">
        <v>363</v>
      </c>
    </row>
    <row r="4" spans="1:7" x14ac:dyDescent="0.25">
      <c r="A4" s="5" t="s">
        <v>31</v>
      </c>
      <c r="B4">
        <v>2886292</v>
      </c>
      <c r="C4">
        <v>34774.602409638552</v>
      </c>
      <c r="D4">
        <v>232785</v>
      </c>
      <c r="E4">
        <v>2804.6385542168673</v>
      </c>
      <c r="F4">
        <v>12376</v>
      </c>
      <c r="G4">
        <v>149.10843373493975</v>
      </c>
    </row>
    <row r="5" spans="1:7" x14ac:dyDescent="0.25">
      <c r="A5" s="5" t="s">
        <v>26</v>
      </c>
      <c r="B5">
        <v>2788367</v>
      </c>
      <c r="C5">
        <v>38727.319444444445</v>
      </c>
      <c r="D5">
        <v>212431</v>
      </c>
      <c r="E5">
        <v>2950.4305555555557</v>
      </c>
      <c r="F5">
        <v>11191</v>
      </c>
      <c r="G5">
        <v>155.43055555555554</v>
      </c>
    </row>
    <row r="6" spans="1:7" x14ac:dyDescent="0.25">
      <c r="A6" s="5" t="s">
        <v>38</v>
      </c>
      <c r="B6">
        <v>2611652</v>
      </c>
      <c r="C6">
        <v>33482.717948717946</v>
      </c>
      <c r="D6">
        <v>198666</v>
      </c>
      <c r="E6">
        <v>2547</v>
      </c>
      <c r="F6">
        <v>12464</v>
      </c>
      <c r="G6">
        <v>159.7948717948718</v>
      </c>
    </row>
    <row r="7" spans="1:7" x14ac:dyDescent="0.25">
      <c r="A7" s="5" t="s">
        <v>49</v>
      </c>
      <c r="B7">
        <v>2107842</v>
      </c>
      <c r="C7">
        <v>31460.328358208953</v>
      </c>
      <c r="D7">
        <v>176109</v>
      </c>
      <c r="E7">
        <v>2628.4925373134329</v>
      </c>
      <c r="F7">
        <v>9335</v>
      </c>
      <c r="G7">
        <v>139.32835820895522</v>
      </c>
    </row>
    <row r="11" spans="1:7" ht="18.75" x14ac:dyDescent="0.3">
      <c r="B11" s="6" t="s">
        <v>364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CAD6D-0E9B-4183-9C9B-6C17A7B5BF34}">
  <dimension ref="B3:H9"/>
  <sheetViews>
    <sheetView workbookViewId="0">
      <selection activeCell="C5" sqref="C5"/>
    </sheetView>
  </sheetViews>
  <sheetFormatPr defaultRowHeight="15" x14ac:dyDescent="0.25"/>
  <cols>
    <col min="2" max="2" width="16.5703125" bestFit="1" customWidth="1"/>
    <col min="3" max="3" width="27.5703125" bestFit="1" customWidth="1"/>
    <col min="4" max="4" width="24.28515625" bestFit="1" customWidth="1"/>
    <col min="5" max="6" width="12" bestFit="1" customWidth="1"/>
    <col min="7" max="7" width="10" bestFit="1" customWidth="1"/>
    <col min="8" max="15" width="12" bestFit="1" customWidth="1"/>
    <col min="16" max="16" width="11" bestFit="1" customWidth="1"/>
    <col min="17" max="24" width="12" bestFit="1" customWidth="1"/>
    <col min="25" max="25" width="11" bestFit="1" customWidth="1"/>
    <col min="26" max="42" width="12" bestFit="1" customWidth="1"/>
    <col min="43" max="43" width="11" bestFit="1" customWidth="1"/>
    <col min="44" max="49" width="12" bestFit="1" customWidth="1"/>
    <col min="50" max="50" width="11" bestFit="1" customWidth="1"/>
    <col min="51" max="61" width="12" bestFit="1" customWidth="1"/>
    <col min="62" max="62" width="11" bestFit="1" customWidth="1"/>
    <col min="63" max="75" width="12" bestFit="1" customWidth="1"/>
    <col min="76" max="76" width="11" bestFit="1" customWidth="1"/>
    <col min="77" max="83" width="12" bestFit="1" customWidth="1"/>
    <col min="84" max="84" width="11" bestFit="1" customWidth="1"/>
    <col min="85" max="90" width="12" bestFit="1" customWidth="1"/>
    <col min="91" max="91" width="11" bestFit="1" customWidth="1"/>
    <col min="92" max="113" width="12" bestFit="1" customWidth="1"/>
    <col min="114" max="114" width="11" bestFit="1" customWidth="1"/>
    <col min="115" max="132" width="12" bestFit="1" customWidth="1"/>
    <col min="133" max="133" width="10" bestFit="1" customWidth="1"/>
    <col min="134" max="138" width="12" bestFit="1" customWidth="1"/>
    <col min="139" max="139" width="11" bestFit="1" customWidth="1"/>
    <col min="140" max="157" width="12" bestFit="1" customWidth="1"/>
    <col min="158" max="158" width="11" bestFit="1" customWidth="1"/>
    <col min="159" max="160" width="12" bestFit="1" customWidth="1"/>
    <col min="161" max="161" width="11" bestFit="1" customWidth="1"/>
    <col min="162" max="164" width="12" bestFit="1" customWidth="1"/>
    <col min="165" max="165" width="11" bestFit="1" customWidth="1"/>
    <col min="166" max="178" width="12" bestFit="1" customWidth="1"/>
    <col min="179" max="179" width="11" bestFit="1" customWidth="1"/>
    <col min="180" max="181" width="12" bestFit="1" customWidth="1"/>
    <col min="182" max="182" width="11" bestFit="1" customWidth="1"/>
    <col min="183" max="184" width="12" bestFit="1" customWidth="1"/>
    <col min="185" max="185" width="9" bestFit="1" customWidth="1"/>
    <col min="186" max="199" width="12" bestFit="1" customWidth="1"/>
    <col min="200" max="200" width="11" bestFit="1" customWidth="1"/>
    <col min="201" max="202" width="12" bestFit="1" customWidth="1"/>
    <col min="203" max="204" width="11" bestFit="1" customWidth="1"/>
    <col min="205" max="256" width="12" bestFit="1" customWidth="1"/>
    <col min="257" max="257" width="11" bestFit="1" customWidth="1"/>
    <col min="258" max="258" width="12" bestFit="1" customWidth="1"/>
    <col min="259" max="260" width="11" bestFit="1" customWidth="1"/>
    <col min="261" max="262" width="12" bestFit="1" customWidth="1"/>
    <col min="263" max="263" width="11" bestFit="1" customWidth="1"/>
    <col min="264" max="266" width="12" bestFit="1" customWidth="1"/>
    <col min="267" max="267" width="10" bestFit="1" customWidth="1"/>
    <col min="268" max="273" width="12" bestFit="1" customWidth="1"/>
    <col min="274" max="274" width="11" bestFit="1" customWidth="1"/>
    <col min="275" max="275" width="12" bestFit="1" customWidth="1"/>
    <col min="276" max="276" width="11" bestFit="1" customWidth="1"/>
    <col min="277" max="299" width="12" bestFit="1" customWidth="1"/>
    <col min="300" max="300" width="11" bestFit="1" customWidth="1"/>
    <col min="301" max="301" width="12" bestFit="1" customWidth="1"/>
    <col min="302" max="302" width="11" bestFit="1" customWidth="1"/>
    <col min="303" max="303" width="11.28515625" bestFit="1" customWidth="1"/>
  </cols>
  <sheetData>
    <row r="3" spans="2:8" ht="11.25" customHeight="1" x14ac:dyDescent="0.25">
      <c r="B3" s="4" t="s">
        <v>369</v>
      </c>
      <c r="C3" t="s">
        <v>368</v>
      </c>
      <c r="E3" s="33" t="s">
        <v>371</v>
      </c>
      <c r="F3" s="33"/>
      <c r="G3" s="33"/>
      <c r="H3" s="33"/>
    </row>
    <row r="4" spans="2:8" x14ac:dyDescent="0.25">
      <c r="B4" s="5" t="s">
        <v>365</v>
      </c>
      <c r="C4" s="8">
        <v>0.14708871587277569</v>
      </c>
      <c r="E4" s="33"/>
      <c r="F4" s="33"/>
      <c r="G4" s="33"/>
      <c r="H4" s="33"/>
    </row>
    <row r="5" spans="2:8" x14ac:dyDescent="0.25">
      <c r="B5" s="5" t="s">
        <v>366</v>
      </c>
      <c r="C5" s="8">
        <v>0.14923006193691071</v>
      </c>
      <c r="E5" s="33"/>
      <c r="F5" s="33"/>
      <c r="G5" s="33"/>
      <c r="H5" s="33"/>
    </row>
    <row r="6" spans="2:8" x14ac:dyDescent="0.25">
      <c r="B6" s="5" t="s">
        <v>367</v>
      </c>
      <c r="C6" s="8">
        <v>0.15257345703695846</v>
      </c>
      <c r="E6" s="33"/>
      <c r="F6" s="33"/>
      <c r="G6" s="33"/>
      <c r="H6" s="33"/>
    </row>
    <row r="9" spans="2:8" ht="18.75" x14ac:dyDescent="0.3">
      <c r="B9" s="34" t="s">
        <v>370</v>
      </c>
      <c r="C9" s="34"/>
    </row>
  </sheetData>
  <mergeCells count="2">
    <mergeCell ref="E3:H6"/>
    <mergeCell ref="B9:C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92CE-7D8C-4CA7-A699-4AAE19AC842F}">
  <dimension ref="B3:L11"/>
  <sheetViews>
    <sheetView workbookViewId="0">
      <selection activeCell="C15" sqref="C15"/>
    </sheetView>
  </sheetViews>
  <sheetFormatPr defaultRowHeight="15" x14ac:dyDescent="0.25"/>
  <cols>
    <col min="2" max="2" width="16.5703125" bestFit="1" customWidth="1"/>
    <col min="3" max="3" width="19.140625" bestFit="1" customWidth="1"/>
    <col min="4" max="4" width="19.5703125" bestFit="1" customWidth="1"/>
  </cols>
  <sheetData>
    <row r="3" spans="2:12" x14ac:dyDescent="0.25">
      <c r="B3" s="4" t="s">
        <v>357</v>
      </c>
      <c r="C3" t="s">
        <v>373</v>
      </c>
      <c r="D3" t="s">
        <v>374</v>
      </c>
      <c r="E3" s="13" t="s">
        <v>375</v>
      </c>
      <c r="H3" s="30" t="s">
        <v>378</v>
      </c>
      <c r="I3" s="30"/>
      <c r="J3" s="30"/>
      <c r="K3" s="30"/>
      <c r="L3" s="30"/>
    </row>
    <row r="4" spans="2:12" x14ac:dyDescent="0.25">
      <c r="B4" s="5" t="s">
        <v>31</v>
      </c>
      <c r="C4">
        <v>295774</v>
      </c>
      <c r="D4">
        <v>180000</v>
      </c>
      <c r="E4" s="14">
        <f>C4/D4</f>
        <v>1.6431888888888888</v>
      </c>
      <c r="H4" s="30" t="s">
        <v>377</v>
      </c>
      <c r="I4" s="30"/>
      <c r="J4" s="30"/>
      <c r="K4" s="30"/>
      <c r="L4" s="30"/>
    </row>
    <row r="5" spans="2:12" x14ac:dyDescent="0.25">
      <c r="B5" s="5" t="s">
        <v>26</v>
      </c>
      <c r="C5">
        <v>265044</v>
      </c>
      <c r="D5">
        <v>160000</v>
      </c>
      <c r="E5" s="14">
        <f t="shared" ref="E5:E7" si="0">C5/D5</f>
        <v>1.656525</v>
      </c>
      <c r="H5" s="30" t="s">
        <v>376</v>
      </c>
      <c r="I5" s="30"/>
      <c r="J5" s="30"/>
      <c r="K5" s="30"/>
      <c r="L5" s="30"/>
    </row>
    <row r="6" spans="2:12" x14ac:dyDescent="0.25">
      <c r="B6" s="5" t="s">
        <v>38</v>
      </c>
      <c r="C6">
        <v>256339</v>
      </c>
      <c r="D6">
        <v>220000</v>
      </c>
      <c r="E6" s="14">
        <f t="shared" si="0"/>
        <v>1.1651772727272727</v>
      </c>
      <c r="H6" s="13"/>
      <c r="I6" s="13"/>
      <c r="J6" s="13"/>
      <c r="K6" s="13"/>
      <c r="L6" s="13"/>
    </row>
    <row r="7" spans="2:12" x14ac:dyDescent="0.25">
      <c r="B7" s="5" t="s">
        <v>49</v>
      </c>
      <c r="C7">
        <v>220610</v>
      </c>
      <c r="D7">
        <v>200000</v>
      </c>
      <c r="E7" s="14">
        <f t="shared" si="0"/>
        <v>1.1030500000000001</v>
      </c>
    </row>
    <row r="11" spans="2:12" ht="20.25" customHeight="1" x14ac:dyDescent="0.25">
      <c r="B11" s="12"/>
      <c r="C11" s="35" t="s">
        <v>379</v>
      </c>
      <c r="D11" s="35"/>
      <c r="E11" s="35"/>
      <c r="F11" s="35"/>
    </row>
  </sheetData>
  <mergeCells count="1">
    <mergeCell ref="C11:F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C0250-649B-4504-AA5B-803B1242DABA}">
  <dimension ref="A1:F17"/>
  <sheetViews>
    <sheetView tabSelected="1" workbookViewId="0">
      <selection activeCell="J11" sqref="J11"/>
    </sheetView>
  </sheetViews>
  <sheetFormatPr defaultRowHeight="15" x14ac:dyDescent="0.25"/>
  <cols>
    <col min="1" max="1" width="16.42578125" bestFit="1" customWidth="1"/>
    <col min="2" max="2" width="21.7109375" bestFit="1" customWidth="1"/>
    <col min="3" max="3" width="21.42578125" bestFit="1" customWidth="1"/>
    <col min="4" max="4" width="16.28515625" bestFit="1" customWidth="1"/>
  </cols>
  <sheetData>
    <row r="1" spans="1:6" ht="18" customHeight="1" x14ac:dyDescent="0.25">
      <c r="A1" s="36" t="s">
        <v>389</v>
      </c>
      <c r="B1" s="36"/>
      <c r="C1" s="36"/>
      <c r="D1" s="36"/>
      <c r="E1" s="36"/>
      <c r="F1" s="36"/>
    </row>
    <row r="2" spans="1:6" x14ac:dyDescent="0.25">
      <c r="A2" s="36"/>
      <c r="B2" s="36"/>
      <c r="C2" s="36"/>
      <c r="D2" s="36"/>
      <c r="E2" s="36"/>
      <c r="F2" s="36"/>
    </row>
    <row r="3" spans="1:6" x14ac:dyDescent="0.25">
      <c r="A3" s="31"/>
      <c r="B3" s="31"/>
      <c r="C3" s="31"/>
      <c r="D3" s="31"/>
      <c r="E3" s="31"/>
      <c r="F3" s="31"/>
    </row>
    <row r="4" spans="1:6" x14ac:dyDescent="0.25">
      <c r="A4" s="31"/>
      <c r="B4" s="31"/>
      <c r="C4" s="31"/>
      <c r="D4" s="31"/>
      <c r="E4" s="31"/>
      <c r="F4" s="31"/>
    </row>
    <row r="5" spans="1:6" x14ac:dyDescent="0.25">
      <c r="A5" s="4" t="s">
        <v>357</v>
      </c>
      <c r="B5" t="s">
        <v>384</v>
      </c>
      <c r="C5" t="s">
        <v>385</v>
      </c>
      <c r="D5" s="13" t="s">
        <v>386</v>
      </c>
    </row>
    <row r="6" spans="1:6" x14ac:dyDescent="0.25">
      <c r="A6" s="5" t="s">
        <v>382</v>
      </c>
      <c r="B6">
        <v>456946</v>
      </c>
      <c r="C6">
        <v>26295</v>
      </c>
      <c r="D6">
        <f>B6-C6</f>
        <v>430651</v>
      </c>
    </row>
    <row r="7" spans="1:6" x14ac:dyDescent="0.25">
      <c r="A7" s="5" t="s">
        <v>26</v>
      </c>
      <c r="B7">
        <v>489188</v>
      </c>
      <c r="C7">
        <v>87443</v>
      </c>
      <c r="D7">
        <f t="shared" ref="D7:D10" si="0">B7-C7</f>
        <v>401745</v>
      </c>
    </row>
    <row r="8" spans="1:6" x14ac:dyDescent="0.25">
      <c r="A8" s="5" t="s">
        <v>38</v>
      </c>
      <c r="B8">
        <v>476486</v>
      </c>
      <c r="C8">
        <v>23492</v>
      </c>
      <c r="D8">
        <f t="shared" si="0"/>
        <v>452994</v>
      </c>
    </row>
    <row r="9" spans="1:6" x14ac:dyDescent="0.25">
      <c r="A9" s="5" t="s">
        <v>383</v>
      </c>
      <c r="B9">
        <v>496982</v>
      </c>
      <c r="C9">
        <v>11435</v>
      </c>
      <c r="D9">
        <f t="shared" si="0"/>
        <v>485547</v>
      </c>
    </row>
    <row r="10" spans="1:6" x14ac:dyDescent="0.25">
      <c r="A10" s="5" t="s">
        <v>49</v>
      </c>
      <c r="B10">
        <v>487896</v>
      </c>
      <c r="C10">
        <v>14437</v>
      </c>
      <c r="D10">
        <f t="shared" si="0"/>
        <v>473459</v>
      </c>
    </row>
    <row r="14" spans="1:6" ht="16.5" customHeight="1" x14ac:dyDescent="0.25">
      <c r="B14" s="36" t="s">
        <v>388</v>
      </c>
      <c r="C14" s="36"/>
    </row>
    <row r="15" spans="1:6" x14ac:dyDescent="0.25">
      <c r="B15" s="36"/>
      <c r="C15" s="36"/>
    </row>
    <row r="17" spans="2:4" x14ac:dyDescent="0.25">
      <c r="B17" s="30" t="s">
        <v>390</v>
      </c>
      <c r="C17" s="30"/>
      <c r="D17" s="30"/>
    </row>
  </sheetData>
  <mergeCells count="2">
    <mergeCell ref="B14:C15"/>
    <mergeCell ref="A1:F2"/>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D55DE2B-EBEA-4A4C-BD8F-38FC63820E68}">
  <ds:schemaRefs/>
</ds:datastoreItem>
</file>

<file path=customXml/itemProps2.xml><?xml version="1.0" encoding="utf-8"?>
<ds:datastoreItem xmlns:ds="http://schemas.openxmlformats.org/officeDocument/2006/customXml" ds:itemID="{492903E3-F82D-4E7E-82A8-9EDB94A1F48B}">
  <ds:schemaRefs/>
</ds:datastoreItem>
</file>

<file path=customXml/itemProps3.xml><?xml version="1.0" encoding="utf-8"?>
<ds:datastoreItem xmlns:ds="http://schemas.openxmlformats.org/officeDocument/2006/customXml" ds:itemID="{1381CAC2-4CCA-49C1-A647-75C14D7C0028}">
  <ds:schemaRefs/>
</ds:datastoreItem>
</file>

<file path=customXml/itemProps4.xml><?xml version="1.0" encoding="utf-8"?>
<ds:datastoreItem xmlns:ds="http://schemas.openxmlformats.org/officeDocument/2006/customXml" ds:itemID="{4759AB2A-B95D-4EF6-9C9F-2499ACFEB3D3}">
  <ds:schemaRefs/>
</ds:datastoreItem>
</file>

<file path=customXml/itemProps5.xml><?xml version="1.0" encoding="utf-8"?>
<ds:datastoreItem xmlns:ds="http://schemas.openxmlformats.org/officeDocument/2006/customXml" ds:itemID="{57EEA4D9-C52A-40EB-8A38-ACB8BED7318B}">
  <ds:schemaRefs/>
</ds:datastoreItem>
</file>

<file path=customXml/itemProps6.xml><?xml version="1.0" encoding="utf-8"?>
<ds:datastoreItem xmlns:ds="http://schemas.openxmlformats.org/officeDocument/2006/customXml" ds:itemID="{781349FD-005C-44C2-A090-188631A47D56}">
  <ds:schemaRefs/>
</ds:datastoreItem>
</file>

<file path=customXml/itemProps7.xml><?xml version="1.0" encoding="utf-8"?>
<ds:datastoreItem xmlns:ds="http://schemas.openxmlformats.org/officeDocument/2006/customXml" ds:itemID="{D715F928-6275-493C-B5F2-BFDB54091539}">
  <ds:schemaRefs/>
</ds:datastoreItem>
</file>

<file path=customXml/itemProps8.xml><?xml version="1.0" encoding="utf-8"?>
<ds:datastoreItem xmlns:ds="http://schemas.openxmlformats.org/officeDocument/2006/customXml" ds:itemID="{F6043776-84F5-451A-A9AE-63B66440ACCC}">
  <ds:schemaRefs/>
</ds:datastoreItem>
</file>

<file path=customXml/itemProps9.xml><?xml version="1.0" encoding="utf-8"?>
<ds:datastoreItem xmlns:ds="http://schemas.openxmlformats.org/officeDocument/2006/customXml" ds:itemID="{1168F8B9-1718-491B-AE46-9AF933E46973}">
  <ds:schemaRefs/>
</ds:datastoreItem>
</file>

<file path=customXml/itemProps10.xml><?xml version="1.0" encoding="utf-8"?>
<ds:datastoreItem xmlns:ds="http://schemas.openxmlformats.org/officeDocument/2006/customXml" ds:itemID="{F791140F-59E0-4CDD-BEEC-084DC6C6F57F}">
  <ds:schemaRefs>
    <ds:schemaRef ds:uri="http://schemas.microsoft.com/DataMashup"/>
  </ds:schemaRefs>
</ds:datastoreItem>
</file>

<file path=customXml/itemProps11.xml><?xml version="1.0" encoding="utf-8"?>
<ds:datastoreItem xmlns:ds="http://schemas.openxmlformats.org/officeDocument/2006/customXml" ds:itemID="{8D76700E-D49C-491F-BD40-9B292C82EDAC}">
  <ds:schemaRefs/>
</ds:datastoreItem>
</file>

<file path=customXml/itemProps12.xml><?xml version="1.0" encoding="utf-8"?>
<ds:datastoreItem xmlns:ds="http://schemas.openxmlformats.org/officeDocument/2006/customXml" ds:itemID="{190A4FFC-6045-479C-85AF-3DB329EE7094}">
  <ds:schemaRefs/>
</ds:datastoreItem>
</file>

<file path=customXml/itemProps13.xml><?xml version="1.0" encoding="utf-8"?>
<ds:datastoreItem xmlns:ds="http://schemas.openxmlformats.org/officeDocument/2006/customXml" ds:itemID="{05CED468-CD3F-47F1-A7A7-B99EE7C60EE4}">
  <ds:schemaRefs/>
</ds:datastoreItem>
</file>

<file path=customXml/itemProps14.xml><?xml version="1.0" encoding="utf-8"?>
<ds:datastoreItem xmlns:ds="http://schemas.openxmlformats.org/officeDocument/2006/customXml" ds:itemID="{7B673605-E915-41E5-815F-1EF52284B1E5}">
  <ds:schemaRefs/>
</ds:datastoreItem>
</file>

<file path=customXml/itemProps15.xml><?xml version="1.0" encoding="utf-8"?>
<ds:datastoreItem xmlns:ds="http://schemas.openxmlformats.org/officeDocument/2006/customXml" ds:itemID="{C183A481-CDC7-4FC7-950D-3C6CD3BA9752}">
  <ds:schemaRefs/>
</ds:datastoreItem>
</file>

<file path=customXml/itemProps16.xml><?xml version="1.0" encoding="utf-8"?>
<ds:datastoreItem xmlns:ds="http://schemas.openxmlformats.org/officeDocument/2006/customXml" ds:itemID="{2A54CCB2-CCEB-4456-80F3-0EA44F71326D}">
  <ds:schemaRefs/>
</ds:datastoreItem>
</file>

<file path=customXml/itemProps17.xml><?xml version="1.0" encoding="utf-8"?>
<ds:datastoreItem xmlns:ds="http://schemas.openxmlformats.org/officeDocument/2006/customXml" ds:itemID="{268DBD1F-40F4-47AF-9EE3-D78E82A3AC04}">
  <ds:schemaRefs/>
</ds:datastoreItem>
</file>

<file path=customXml/itemProps18.xml><?xml version="1.0" encoding="utf-8"?>
<ds:datastoreItem xmlns:ds="http://schemas.openxmlformats.org/officeDocument/2006/customXml" ds:itemID="{4164FD95-51EB-45D1-85D1-F7E48E6777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Post</vt:lpstr>
      <vt:lpstr>Engagment Summary</vt:lpstr>
      <vt:lpstr>Campaign Data</vt:lpstr>
      <vt:lpstr>Total&amp;Avg</vt:lpstr>
      <vt:lpstr>uplift</vt:lpstr>
      <vt:lpstr>ROI</vt:lpstr>
      <vt:lpstr>FollowerGrowth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 mahato</dc:creator>
  <cp:lastModifiedBy>amit kumar mahato</cp:lastModifiedBy>
  <dcterms:created xsi:type="dcterms:W3CDTF">2025-12-17T10:53:07Z</dcterms:created>
  <dcterms:modified xsi:type="dcterms:W3CDTF">2025-12-19T07:43:50Z</dcterms:modified>
</cp:coreProperties>
</file>