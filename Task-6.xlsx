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science\excel project\Notion\"/>
    </mc:Choice>
  </mc:AlternateContent>
  <xr:revisionPtr revIDLastSave="0" documentId="13_ncr:1_{BE2A63B2-63FE-45E2-B27C-418BFEE08D01}" xr6:coauthVersionLast="47" xr6:coauthVersionMax="47" xr10:uidLastSave="{00000000-0000-0000-0000-000000000000}"/>
  <bookViews>
    <workbookView xWindow="-120" yWindow="-120" windowWidth="20730" windowHeight="11160" firstSheet="1" activeTab="4" xr2:uid="{9D31FA2F-288F-464D-AABE-24E68F03E6E5}"/>
  </bookViews>
  <sheets>
    <sheet name="Engagment Summary" sheetId="2" r:id="rId1"/>
    <sheet name="WeeklyFollower" sheetId="5" r:id="rId2"/>
    <sheet name="peek week" sheetId="10" r:id="rId3"/>
    <sheet name="Moving_avg" sheetId="12" r:id="rId4"/>
    <sheet name="ScatterPlot" sheetId="14" r:id="rId5"/>
  </sheets>
  <definedNames>
    <definedName name="ExternalData_1" localSheetId="0" hidden="1">'Engagment Summary'!$A$1:$G$201</definedName>
  </definedName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2" l="1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" i="12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11458-FF5F-4E48-9C56-FC3FB87029EA}" keepAlive="1" name="Query - Campaign Data" description="Connection to the 'Campaign Data' query in the workbook." type="5" refreshedVersion="8" background="1" saveData="1">
    <dbPr connection="Provider=Microsoft.Mashup.OleDb.1;Data Source=$Workbook$;Location=&quot;Campaign Data&quot;;Extended Properties=&quot;&quot;" command="SELECT * FROM [Campaign Data]"/>
  </connection>
  <connection id="2" xr16:uid="{8C1A665B-640F-441A-8602-3075A413B988}" keepAlive="1" name="Query - Engagment Summary" description="Connection to the 'Engagment Summary' query in the workbook." type="5" refreshedVersion="8" background="1" saveData="1">
    <dbPr connection="Provider=Microsoft.Mashup.OleDb.1;Data Source=$Workbook$;Location=&quot;Engagment Summary&quot;;Extended Properties=&quot;&quot;" command="SELECT * FROM [Engagment Summary]"/>
  </connection>
  <connection id="3" xr16:uid="{D00FD287-4592-464A-A7FD-2DD4B75128FF}" keepAlive="1" name="Query - Post" description="Connection to the 'Post' query in the workbook." type="5" refreshedVersion="8" background="1" saveData="1">
    <dbPr connection="Provider=Microsoft.Mashup.OleDb.1;Data Source=$Workbook$;Location=Post;Extended Properties=&quot;&quot;" command="SELECT * FROM [Post]"/>
  </connection>
</connections>
</file>

<file path=xl/sharedStrings.xml><?xml version="1.0" encoding="utf-8"?>
<sst xmlns="http://schemas.openxmlformats.org/spreadsheetml/2006/main" count="227" uniqueCount="23">
  <si>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</si>
  <si>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</si>
  <si>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</si>
  <si>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</si>
  <si>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</si>
  <si>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</si>
  <si>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</si>
  <si>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</si>
  <si>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</si>
  <si>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</si>
  <si>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</si>
  <si>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Row Labels</t>
  </si>
  <si>
    <t>Column Labels</t>
  </si>
  <si>
    <t>Sum of Total_Followers</t>
  </si>
  <si>
    <t>Sum of Ad_Spend</t>
  </si>
  <si>
    <t>Follower_Growth</t>
  </si>
  <si>
    <t>N/A</t>
  </si>
  <si>
    <t>Formula Used:
Follower_Growth=This week Total Follower-Previous week Total Follower</t>
  </si>
  <si>
    <t>In the week of 16 dec 2024 Follower gain is at its Peek.</t>
  </si>
  <si>
    <t>Total_Follower</t>
  </si>
  <si>
    <t>Moving_Avg</t>
  </si>
  <si>
    <t>Formula used:
Moving avg.=AVERAGE(Last three weeks)</t>
  </si>
  <si>
    <t>Week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</si>
</sst>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0" xfId="0" applyFont="1"/>
    <xf numFmtId="0" fontId="3" fillId="0" borderId="0" xfId="0" applyFont="1"/>
    <xf numFmtId="0" fontId="1" fillId="3" borderId="0" xfId="0" applyFont="1" applyFill="1"/>
    <xf numFmtId="0" fontId="0" fillId="2" borderId="0" xfId="0" applyFill="1" applyAlignment="1">
      <alignment wrapText="1"/>
    </xf>
    <xf numFmtId="0" fontId="2" fillId="4" borderId="0" xfId="0" applyFont="1" applyFill="1"/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[Task-6.xlsx]WeeklyFollower!PivotTable1</c:name>
    <c:fmtId val="0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WeeklyFollower!$B$3:$B$4</c:f>
              <c:strCache>
                <c:ptCount val="1"/>
                <c:pt idx="0">
                  <c:v>Facebook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WeeklyFollower!$A$5:$A$54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WeeklyFollower!$B$5:$B$54</c:f>
              <c:numCache>
                <c:formatCode>General</c:formatCode>
                <c:ptCount val="50"/>
                <c:pt idx="0">
                  <c:v>42654</c:v>
                </c:pt>
                <c:pt idx="1">
                  <c:v>316555</c:v>
                </c:pt>
                <c:pt idx="2">
                  <c:v>169496</c:v>
                </c:pt>
                <c:pt idx="3">
                  <c:v>26295</c:v>
                </c:pt>
                <c:pt idx="4">
                  <c:v>220020</c:v>
                </c:pt>
                <c:pt idx="5">
                  <c:v>251694</c:v>
                </c:pt>
                <c:pt idx="6">
                  <c:v>334626</c:v>
                </c:pt>
                <c:pt idx="7">
                  <c:v>295032</c:v>
                </c:pt>
                <c:pt idx="8">
                  <c:v>435034</c:v>
                </c:pt>
                <c:pt idx="9">
                  <c:v>125034</c:v>
                </c:pt>
                <c:pt idx="10">
                  <c:v>307612</c:v>
                </c:pt>
                <c:pt idx="11">
                  <c:v>183924</c:v>
                </c:pt>
                <c:pt idx="12">
                  <c:v>379380</c:v>
                </c:pt>
                <c:pt idx="13">
                  <c:v>496982</c:v>
                </c:pt>
                <c:pt idx="14">
                  <c:v>307524</c:v>
                </c:pt>
                <c:pt idx="15">
                  <c:v>474162</c:v>
                </c:pt>
                <c:pt idx="16">
                  <c:v>239753</c:v>
                </c:pt>
                <c:pt idx="17">
                  <c:v>453423</c:v>
                </c:pt>
                <c:pt idx="18">
                  <c:v>379363</c:v>
                </c:pt>
                <c:pt idx="19">
                  <c:v>157599</c:v>
                </c:pt>
                <c:pt idx="20">
                  <c:v>23492</c:v>
                </c:pt>
                <c:pt idx="21">
                  <c:v>209987</c:v>
                </c:pt>
                <c:pt idx="22">
                  <c:v>319186</c:v>
                </c:pt>
                <c:pt idx="23">
                  <c:v>309483</c:v>
                </c:pt>
                <c:pt idx="24">
                  <c:v>338847</c:v>
                </c:pt>
                <c:pt idx="25">
                  <c:v>336661</c:v>
                </c:pt>
                <c:pt idx="26">
                  <c:v>470269</c:v>
                </c:pt>
                <c:pt idx="27">
                  <c:v>35842</c:v>
                </c:pt>
                <c:pt idx="28">
                  <c:v>415815</c:v>
                </c:pt>
                <c:pt idx="29">
                  <c:v>93347</c:v>
                </c:pt>
                <c:pt idx="30">
                  <c:v>379431</c:v>
                </c:pt>
                <c:pt idx="31">
                  <c:v>95728</c:v>
                </c:pt>
                <c:pt idx="32">
                  <c:v>224699</c:v>
                </c:pt>
                <c:pt idx="33">
                  <c:v>479490</c:v>
                </c:pt>
                <c:pt idx="34">
                  <c:v>321307</c:v>
                </c:pt>
                <c:pt idx="35">
                  <c:v>135987</c:v>
                </c:pt>
                <c:pt idx="36">
                  <c:v>309914</c:v>
                </c:pt>
                <c:pt idx="37">
                  <c:v>104967</c:v>
                </c:pt>
                <c:pt idx="38">
                  <c:v>230448</c:v>
                </c:pt>
                <c:pt idx="39">
                  <c:v>366881</c:v>
                </c:pt>
                <c:pt idx="40">
                  <c:v>340842</c:v>
                </c:pt>
                <c:pt idx="41">
                  <c:v>342129</c:v>
                </c:pt>
                <c:pt idx="42">
                  <c:v>373606</c:v>
                </c:pt>
                <c:pt idx="43">
                  <c:v>370070</c:v>
                </c:pt>
                <c:pt idx="44">
                  <c:v>98596</c:v>
                </c:pt>
                <c:pt idx="45">
                  <c:v>70707</c:v>
                </c:pt>
                <c:pt idx="46">
                  <c:v>377382</c:v>
                </c:pt>
                <c:pt idx="47">
                  <c:v>224830</c:v>
                </c:pt>
                <c:pt idx="48">
                  <c:v>418696</c:v>
                </c:pt>
                <c:pt idx="49">
                  <c:v>364820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B1-4951-905B-10FD19369170}"/>
            </c:ext>
          </c:extLst>
        </c:ser>
        <c:ser>
          <c:idx val="1"/>
          <c:order val="1"/>
          <c:tx>
            <c:strRef>
              <c:f>WeeklyFollower!$C$3:$C$4</c:f>
              <c:strCache>
                <c:ptCount val="1"/>
                <c:pt idx="0">
                  <c:v>Instagram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WeeklyFollower!$A$5:$A$54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WeeklyFollower!$C$5:$C$54</c:f>
              <c:numCache>
                <c:formatCode>General</c:formatCode>
                <c:ptCount val="50"/>
                <c:pt idx="0">
                  <c:v>344084</c:v>
                </c:pt>
                <c:pt idx="1">
                  <c:v>49157</c:v>
                </c:pt>
                <c:pt idx="2">
                  <c:v>456946</c:v>
                </c:pt>
                <c:pt idx="3">
                  <c:v>35664</c:v>
                </c:pt>
                <c:pt idx="4">
                  <c:v>419447</c:v>
                </c:pt>
                <c:pt idx="5">
                  <c:v>58223</c:v>
                </c:pt>
                <c:pt idx="6">
                  <c:v>154169</c:v>
                </c:pt>
                <c:pt idx="7">
                  <c:v>473812</c:v>
                </c:pt>
                <c:pt idx="8">
                  <c:v>23664</c:v>
                </c:pt>
                <c:pt idx="9">
                  <c:v>437968</c:v>
                </c:pt>
                <c:pt idx="10">
                  <c:v>489188</c:v>
                </c:pt>
                <c:pt idx="11">
                  <c:v>325444</c:v>
                </c:pt>
                <c:pt idx="12">
                  <c:v>453799</c:v>
                </c:pt>
                <c:pt idx="13">
                  <c:v>101332</c:v>
                </c:pt>
                <c:pt idx="14">
                  <c:v>378054</c:v>
                </c:pt>
                <c:pt idx="15">
                  <c:v>50793</c:v>
                </c:pt>
                <c:pt idx="16">
                  <c:v>422625</c:v>
                </c:pt>
                <c:pt idx="17">
                  <c:v>370269</c:v>
                </c:pt>
                <c:pt idx="18">
                  <c:v>187183</c:v>
                </c:pt>
                <c:pt idx="19">
                  <c:v>388555</c:v>
                </c:pt>
                <c:pt idx="20">
                  <c:v>357089</c:v>
                </c:pt>
                <c:pt idx="21">
                  <c:v>346522</c:v>
                </c:pt>
                <c:pt idx="22">
                  <c:v>54935</c:v>
                </c:pt>
                <c:pt idx="23">
                  <c:v>51395</c:v>
                </c:pt>
                <c:pt idx="24">
                  <c:v>51087</c:v>
                </c:pt>
                <c:pt idx="25">
                  <c:v>282466</c:v>
                </c:pt>
                <c:pt idx="26">
                  <c:v>421957</c:v>
                </c:pt>
                <c:pt idx="27">
                  <c:v>220616</c:v>
                </c:pt>
                <c:pt idx="28">
                  <c:v>465553</c:v>
                </c:pt>
                <c:pt idx="29">
                  <c:v>280795</c:v>
                </c:pt>
                <c:pt idx="30">
                  <c:v>140804</c:v>
                </c:pt>
                <c:pt idx="31">
                  <c:v>466382</c:v>
                </c:pt>
                <c:pt idx="32">
                  <c:v>349413</c:v>
                </c:pt>
                <c:pt idx="33">
                  <c:v>383681</c:v>
                </c:pt>
                <c:pt idx="34">
                  <c:v>357265</c:v>
                </c:pt>
                <c:pt idx="35">
                  <c:v>351556</c:v>
                </c:pt>
                <c:pt idx="36">
                  <c:v>222126</c:v>
                </c:pt>
                <c:pt idx="37">
                  <c:v>453243</c:v>
                </c:pt>
                <c:pt idx="38">
                  <c:v>126524</c:v>
                </c:pt>
                <c:pt idx="39">
                  <c:v>257579</c:v>
                </c:pt>
                <c:pt idx="40">
                  <c:v>462142</c:v>
                </c:pt>
                <c:pt idx="41">
                  <c:v>410330</c:v>
                </c:pt>
                <c:pt idx="42">
                  <c:v>364810</c:v>
                </c:pt>
                <c:pt idx="43">
                  <c:v>282780</c:v>
                </c:pt>
                <c:pt idx="44">
                  <c:v>78789</c:v>
                </c:pt>
                <c:pt idx="45">
                  <c:v>66682</c:v>
                </c:pt>
                <c:pt idx="46">
                  <c:v>62942</c:v>
                </c:pt>
                <c:pt idx="47">
                  <c:v>445944</c:v>
                </c:pt>
                <c:pt idx="48">
                  <c:v>447902</c:v>
                </c:pt>
                <c:pt idx="49">
                  <c:v>468301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B1-4951-905B-10FD19369170}"/>
            </c:ext>
          </c:extLst>
        </c:ser>
        <c:ser>
          <c:idx val="2"/>
          <c:order val="2"/>
          <c:tx>
            <c:strRef>
              <c:f>WeeklyFollower!$D$3:$D$4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WeeklyFollower!$A$5:$A$54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WeeklyFollower!$D$5:$D$54</c:f>
              <c:numCache>
                <c:formatCode>General</c:formatCode>
                <c:ptCount val="50"/>
                <c:pt idx="0">
                  <c:v>146834</c:v>
                </c:pt>
                <c:pt idx="1">
                  <c:v>254347</c:v>
                </c:pt>
                <c:pt idx="2">
                  <c:v>122732</c:v>
                </c:pt>
                <c:pt idx="3">
                  <c:v>298421</c:v>
                </c:pt>
                <c:pt idx="4">
                  <c:v>315305</c:v>
                </c:pt>
                <c:pt idx="5">
                  <c:v>389810</c:v>
                </c:pt>
                <c:pt idx="6">
                  <c:v>226002</c:v>
                </c:pt>
                <c:pt idx="7">
                  <c:v>198278</c:v>
                </c:pt>
                <c:pt idx="8">
                  <c:v>287574</c:v>
                </c:pt>
                <c:pt idx="9">
                  <c:v>449994</c:v>
                </c:pt>
                <c:pt idx="10">
                  <c:v>434883</c:v>
                </c:pt>
                <c:pt idx="11">
                  <c:v>188655</c:v>
                </c:pt>
                <c:pt idx="12">
                  <c:v>186454</c:v>
                </c:pt>
                <c:pt idx="13">
                  <c:v>318779</c:v>
                </c:pt>
                <c:pt idx="14">
                  <c:v>434047</c:v>
                </c:pt>
                <c:pt idx="15">
                  <c:v>392355</c:v>
                </c:pt>
                <c:pt idx="16">
                  <c:v>268516</c:v>
                </c:pt>
                <c:pt idx="17">
                  <c:v>64906</c:v>
                </c:pt>
                <c:pt idx="18">
                  <c:v>476486</c:v>
                </c:pt>
                <c:pt idx="19">
                  <c:v>309772</c:v>
                </c:pt>
                <c:pt idx="20">
                  <c:v>258287</c:v>
                </c:pt>
                <c:pt idx="21">
                  <c:v>240550</c:v>
                </c:pt>
                <c:pt idx="22">
                  <c:v>439080</c:v>
                </c:pt>
                <c:pt idx="23">
                  <c:v>87305</c:v>
                </c:pt>
                <c:pt idx="24">
                  <c:v>487523</c:v>
                </c:pt>
                <c:pt idx="25">
                  <c:v>88455</c:v>
                </c:pt>
                <c:pt idx="26">
                  <c:v>309904</c:v>
                </c:pt>
                <c:pt idx="27">
                  <c:v>20607</c:v>
                </c:pt>
                <c:pt idx="28">
                  <c:v>327183</c:v>
                </c:pt>
                <c:pt idx="29">
                  <c:v>81119</c:v>
                </c:pt>
                <c:pt idx="30">
                  <c:v>274831</c:v>
                </c:pt>
                <c:pt idx="31">
                  <c:v>371156</c:v>
                </c:pt>
                <c:pt idx="32">
                  <c:v>487896</c:v>
                </c:pt>
                <c:pt idx="33">
                  <c:v>124404</c:v>
                </c:pt>
                <c:pt idx="34">
                  <c:v>262569</c:v>
                </c:pt>
                <c:pt idx="35">
                  <c:v>177554</c:v>
                </c:pt>
                <c:pt idx="36">
                  <c:v>126582</c:v>
                </c:pt>
                <c:pt idx="37">
                  <c:v>145608</c:v>
                </c:pt>
                <c:pt idx="38">
                  <c:v>317007</c:v>
                </c:pt>
                <c:pt idx="39">
                  <c:v>466575</c:v>
                </c:pt>
                <c:pt idx="40">
                  <c:v>12471</c:v>
                </c:pt>
                <c:pt idx="41">
                  <c:v>12447</c:v>
                </c:pt>
                <c:pt idx="42">
                  <c:v>211090</c:v>
                </c:pt>
                <c:pt idx="43">
                  <c:v>198350</c:v>
                </c:pt>
                <c:pt idx="44">
                  <c:v>29589</c:v>
                </c:pt>
                <c:pt idx="45">
                  <c:v>142507</c:v>
                </c:pt>
                <c:pt idx="46">
                  <c:v>333851</c:v>
                </c:pt>
                <c:pt idx="47">
                  <c:v>487289</c:v>
                </c:pt>
                <c:pt idx="48">
                  <c:v>484364</c:v>
                </c:pt>
                <c:pt idx="49">
                  <c:v>456298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B1-4951-905B-10FD19369170}"/>
            </c:ext>
          </c:extLst>
        </c:ser>
        <c:ser>
          <c:idx val="3"/>
          <c:order val="3"/>
          <c:tx>
            <c:strRef>
              <c:f>WeeklyFollower!$E$3:$E$4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WeeklyFollower!$A$5:$A$54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WeeklyFollower!$E$5:$E$54</c:f>
              <c:numCache>
                <c:formatCode>General</c:formatCode>
                <c:ptCount val="50"/>
                <c:pt idx="0">
                  <c:v>395536</c:v>
                </c:pt>
                <c:pt idx="1">
                  <c:v>413878</c:v>
                </c:pt>
                <c:pt idx="2">
                  <c:v>382851</c:v>
                </c:pt>
                <c:pt idx="3">
                  <c:v>426184</c:v>
                </c:pt>
                <c:pt idx="4">
                  <c:v>113678</c:v>
                </c:pt>
                <c:pt idx="5">
                  <c:v>233694</c:v>
                </c:pt>
                <c:pt idx="6">
                  <c:v>156683</c:v>
                </c:pt>
                <c:pt idx="7">
                  <c:v>306564</c:v>
                </c:pt>
                <c:pt idx="8">
                  <c:v>62499</c:v>
                </c:pt>
                <c:pt idx="9">
                  <c:v>320650</c:v>
                </c:pt>
                <c:pt idx="10">
                  <c:v>102042</c:v>
                </c:pt>
                <c:pt idx="11">
                  <c:v>87443</c:v>
                </c:pt>
                <c:pt idx="12">
                  <c:v>239044</c:v>
                </c:pt>
                <c:pt idx="13">
                  <c:v>370971</c:v>
                </c:pt>
                <c:pt idx="14">
                  <c:v>64583</c:v>
                </c:pt>
                <c:pt idx="15">
                  <c:v>119934</c:v>
                </c:pt>
                <c:pt idx="16">
                  <c:v>63177</c:v>
                </c:pt>
                <c:pt idx="17">
                  <c:v>94360</c:v>
                </c:pt>
                <c:pt idx="18">
                  <c:v>117767</c:v>
                </c:pt>
                <c:pt idx="19">
                  <c:v>199178</c:v>
                </c:pt>
                <c:pt idx="20">
                  <c:v>256910</c:v>
                </c:pt>
                <c:pt idx="21">
                  <c:v>305827</c:v>
                </c:pt>
                <c:pt idx="22">
                  <c:v>258944</c:v>
                </c:pt>
                <c:pt idx="23">
                  <c:v>121091</c:v>
                </c:pt>
                <c:pt idx="24">
                  <c:v>301695</c:v>
                </c:pt>
                <c:pt idx="25">
                  <c:v>62535</c:v>
                </c:pt>
                <c:pt idx="26">
                  <c:v>221274</c:v>
                </c:pt>
                <c:pt idx="27">
                  <c:v>451894</c:v>
                </c:pt>
                <c:pt idx="28">
                  <c:v>488901</c:v>
                </c:pt>
                <c:pt idx="29">
                  <c:v>25177</c:v>
                </c:pt>
                <c:pt idx="30">
                  <c:v>136845</c:v>
                </c:pt>
                <c:pt idx="31">
                  <c:v>95410</c:v>
                </c:pt>
                <c:pt idx="32">
                  <c:v>14437</c:v>
                </c:pt>
                <c:pt idx="33">
                  <c:v>336949</c:v>
                </c:pt>
                <c:pt idx="34">
                  <c:v>461669</c:v>
                </c:pt>
                <c:pt idx="35">
                  <c:v>270766</c:v>
                </c:pt>
                <c:pt idx="36">
                  <c:v>485280</c:v>
                </c:pt>
                <c:pt idx="37">
                  <c:v>105980</c:v>
                </c:pt>
                <c:pt idx="38">
                  <c:v>464239</c:v>
                </c:pt>
                <c:pt idx="39">
                  <c:v>224534</c:v>
                </c:pt>
                <c:pt idx="40">
                  <c:v>98397</c:v>
                </c:pt>
                <c:pt idx="41">
                  <c:v>17380</c:v>
                </c:pt>
                <c:pt idx="42">
                  <c:v>441931</c:v>
                </c:pt>
                <c:pt idx="43">
                  <c:v>435726</c:v>
                </c:pt>
                <c:pt idx="44">
                  <c:v>290354</c:v>
                </c:pt>
                <c:pt idx="45">
                  <c:v>369525</c:v>
                </c:pt>
                <c:pt idx="46">
                  <c:v>270958</c:v>
                </c:pt>
                <c:pt idx="47">
                  <c:v>11435</c:v>
                </c:pt>
                <c:pt idx="48">
                  <c:v>148477</c:v>
                </c:pt>
                <c:pt idx="49">
                  <c:v>82558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B1-4951-905B-10FD19369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9602943"/>
        <c:axId val="1209603903"/>
      </c:lineChart>
      <c:catAx>
        <c:axId val="12096029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603903"/>
        <c:crosses val="autoZero"/>
        <c:auto val="1"/>
        <c:lblAlgn val="ctr"/>
        <c:lblOffset val="100"/>
        <c:noMultiLvlLbl val="0"/>
      </c:catAx>
      <c:valAx>
        <c:axId val="12096039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60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Moving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Moving_avg!$B$1</c:f>
              <c:strCache>
                <c:ptCount val="1"/>
                <c:pt idx="0">
                  <c:v>Total_Follower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Moving_avg!$A$2:$A$51</c:f>
              <c:numCache>
                <c:formatCode>m/d/yyyy</c:formatCode>
                <c:ptCount val="50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</c:numCache>
            </c:numRef>
          </c:cat>
          <c:val>
            <c:numRef>
              <c:f>Moving_avg!$B$2:$B$51</c:f>
              <c:numCache>
                <c:formatCode>General</c:formatCode>
                <c:ptCount val="50"/>
                <c:pt idx="0">
                  <c:v>929108</c:v>
                </c:pt>
                <c:pt idx="1">
                  <c:v>1033937</c:v>
                </c:pt>
                <c:pt idx="2">
                  <c:v>1132025</c:v>
                </c:pt>
                <c:pt idx="3">
                  <c:v>786564</c:v>
                </c:pt>
                <c:pt idx="4">
                  <c:v>1068450</c:v>
                </c:pt>
                <c:pt idx="5">
                  <c:v>933421</c:v>
                </c:pt>
                <c:pt idx="6">
                  <c:v>871480</c:v>
                </c:pt>
                <c:pt idx="7">
                  <c:v>1273686</c:v>
                </c:pt>
                <c:pt idx="8">
                  <c:v>808771</c:v>
                </c:pt>
                <c:pt idx="9">
                  <c:v>1333646</c:v>
                </c:pt>
                <c:pt idx="10">
                  <c:v>1333725</c:v>
                </c:pt>
                <c:pt idx="11">
                  <c:v>785466</c:v>
                </c:pt>
                <c:pt idx="12">
                  <c:v>1258677</c:v>
                </c:pt>
                <c:pt idx="13">
                  <c:v>1288064</c:v>
                </c:pt>
                <c:pt idx="14">
                  <c:v>1184208</c:v>
                </c:pt>
                <c:pt idx="15">
                  <c:v>1037244</c:v>
                </c:pt>
                <c:pt idx="16">
                  <c:v>994071</c:v>
                </c:pt>
                <c:pt idx="17">
                  <c:v>982958</c:v>
                </c:pt>
                <c:pt idx="18">
                  <c:v>1160799</c:v>
                </c:pt>
                <c:pt idx="19">
                  <c:v>1055104</c:v>
                </c:pt>
                <c:pt idx="20">
                  <c:v>895778</c:v>
                </c:pt>
                <c:pt idx="21">
                  <c:v>1102886</c:v>
                </c:pt>
                <c:pt idx="22">
                  <c:v>1072145</c:v>
                </c:pt>
                <c:pt idx="23">
                  <c:v>569274</c:v>
                </c:pt>
                <c:pt idx="24">
                  <c:v>1179152</c:v>
                </c:pt>
                <c:pt idx="25">
                  <c:v>770117</c:v>
                </c:pt>
                <c:pt idx="26">
                  <c:v>1423404</c:v>
                </c:pt>
                <c:pt idx="27">
                  <c:v>728959</c:v>
                </c:pt>
                <c:pt idx="28">
                  <c:v>1697452</c:v>
                </c:pt>
                <c:pt idx="29">
                  <c:v>480438</c:v>
                </c:pt>
                <c:pt idx="30">
                  <c:v>931911</c:v>
                </c:pt>
                <c:pt idx="31">
                  <c:v>1028676</c:v>
                </c:pt>
                <c:pt idx="32">
                  <c:v>1076445</c:v>
                </c:pt>
                <c:pt idx="33">
                  <c:v>1324524</c:v>
                </c:pt>
                <c:pt idx="34">
                  <c:v>1402810</c:v>
                </c:pt>
                <c:pt idx="35">
                  <c:v>935863</c:v>
                </c:pt>
                <c:pt idx="36">
                  <c:v>1143902</c:v>
                </c:pt>
                <c:pt idx="37">
                  <c:v>809798</c:v>
                </c:pt>
                <c:pt idx="38">
                  <c:v>1138218</c:v>
                </c:pt>
                <c:pt idx="39">
                  <c:v>1315569</c:v>
                </c:pt>
                <c:pt idx="40">
                  <c:v>913852</c:v>
                </c:pt>
                <c:pt idx="41">
                  <c:v>782286</c:v>
                </c:pt>
                <c:pt idx="42">
                  <c:v>1391437</c:v>
                </c:pt>
                <c:pt idx="43">
                  <c:v>1286926</c:v>
                </c:pt>
                <c:pt idx="44">
                  <c:v>497328</c:v>
                </c:pt>
                <c:pt idx="45">
                  <c:v>649421</c:v>
                </c:pt>
                <c:pt idx="46">
                  <c:v>1045133</c:v>
                </c:pt>
                <c:pt idx="47">
                  <c:v>1169498</c:v>
                </c:pt>
                <c:pt idx="48">
                  <c:v>1499439</c:v>
                </c:pt>
                <c:pt idx="49">
                  <c:v>1371977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0-4A77-BAA4-55C3011358A1}"/>
            </c:ext>
          </c:extLst>
        </c:ser>
        <c:ser>
          <c:idx val="1"/>
          <c:order val="1"/>
          <c:tx>
            <c:strRef>
              <c:f>Moving_avg!$C$1</c:f>
              <c:strCache>
                <c:ptCount val="1"/>
                <c:pt idx="0">
                  <c:v>Moving_Avg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Moving_avg!$A$2:$A$51</c:f>
              <c:numCache>
                <c:formatCode>m/d/yyyy</c:formatCode>
                <c:ptCount val="50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</c:numCache>
            </c:numRef>
          </c:cat>
          <c:val>
            <c:numRef>
              <c:f>Moving_avg!$C$2:$C$51</c:f>
              <c:numCache>
                <c:formatCode>General</c:formatCode>
                <c:ptCount val="50"/>
                <c:pt idx="3">
                  <c:v>1031690</c:v>
                </c:pt>
                <c:pt idx="4">
                  <c:v>984175.33333333337</c:v>
                </c:pt>
                <c:pt idx="5">
                  <c:v>995679.66666666663</c:v>
                </c:pt>
                <c:pt idx="6">
                  <c:v>929478.33333333337</c:v>
                </c:pt>
                <c:pt idx="7">
                  <c:v>957783.66666666663</c:v>
                </c:pt>
                <c:pt idx="8">
                  <c:v>1026195.6666666666</c:v>
                </c:pt>
                <c:pt idx="9">
                  <c:v>984645.66666666663</c:v>
                </c:pt>
                <c:pt idx="10">
                  <c:v>1138701</c:v>
                </c:pt>
                <c:pt idx="11">
                  <c:v>1158714</c:v>
                </c:pt>
                <c:pt idx="12">
                  <c:v>1150945.6666666667</c:v>
                </c:pt>
                <c:pt idx="13">
                  <c:v>1125956</c:v>
                </c:pt>
                <c:pt idx="14">
                  <c:v>1110735.6666666667</c:v>
                </c:pt>
                <c:pt idx="15">
                  <c:v>1243649.6666666667</c:v>
                </c:pt>
                <c:pt idx="16">
                  <c:v>1169838.6666666667</c:v>
                </c:pt>
                <c:pt idx="17">
                  <c:v>1071841</c:v>
                </c:pt>
                <c:pt idx="18">
                  <c:v>1004757.6666666666</c:v>
                </c:pt>
                <c:pt idx="19">
                  <c:v>1045942.6666666666</c:v>
                </c:pt>
                <c:pt idx="20">
                  <c:v>1066287</c:v>
                </c:pt>
                <c:pt idx="21">
                  <c:v>1037227</c:v>
                </c:pt>
                <c:pt idx="22">
                  <c:v>1017922.6666666666</c:v>
                </c:pt>
                <c:pt idx="23">
                  <c:v>1023603</c:v>
                </c:pt>
                <c:pt idx="24">
                  <c:v>914768.33333333337</c:v>
                </c:pt>
                <c:pt idx="25">
                  <c:v>940190.33333333337</c:v>
                </c:pt>
                <c:pt idx="26">
                  <c:v>839514.33333333337</c:v>
                </c:pt>
                <c:pt idx="27">
                  <c:v>1124224.3333333333</c:v>
                </c:pt>
                <c:pt idx="28">
                  <c:v>974160</c:v>
                </c:pt>
                <c:pt idx="29">
                  <c:v>1283271.6666666667</c:v>
                </c:pt>
                <c:pt idx="30">
                  <c:v>968949.66666666663</c:v>
                </c:pt>
                <c:pt idx="31">
                  <c:v>1036600.3333333334</c:v>
                </c:pt>
                <c:pt idx="32">
                  <c:v>813675</c:v>
                </c:pt>
                <c:pt idx="33">
                  <c:v>1012344</c:v>
                </c:pt>
                <c:pt idx="34">
                  <c:v>1143215</c:v>
                </c:pt>
                <c:pt idx="35">
                  <c:v>1267926.3333333333</c:v>
                </c:pt>
                <c:pt idx="36">
                  <c:v>1221065.6666666667</c:v>
                </c:pt>
                <c:pt idx="37">
                  <c:v>1160858.3333333333</c:v>
                </c:pt>
                <c:pt idx="38">
                  <c:v>963187.66666666663</c:v>
                </c:pt>
                <c:pt idx="39">
                  <c:v>1030639.3333333334</c:v>
                </c:pt>
                <c:pt idx="40">
                  <c:v>1087861.6666666667</c:v>
                </c:pt>
                <c:pt idx="41">
                  <c:v>1122546.3333333333</c:v>
                </c:pt>
                <c:pt idx="42">
                  <c:v>1003902.3333333334</c:v>
                </c:pt>
                <c:pt idx="43">
                  <c:v>1029191.6666666666</c:v>
                </c:pt>
                <c:pt idx="44">
                  <c:v>1153549.6666666667</c:v>
                </c:pt>
                <c:pt idx="45">
                  <c:v>1058563.6666666667</c:v>
                </c:pt>
                <c:pt idx="46">
                  <c:v>811225</c:v>
                </c:pt>
                <c:pt idx="47">
                  <c:v>730627.33333333337</c:v>
                </c:pt>
                <c:pt idx="48">
                  <c:v>954684</c:v>
                </c:pt>
                <c:pt idx="49">
                  <c:v>1238023.3333333333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0-4A77-BAA4-55C301135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781375"/>
        <c:axId val="961780415"/>
      </c:lineChart>
      <c:dateAx>
        <c:axId val="9617813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780415"/>
        <c:crosses val="autoZero"/>
        <c:auto val="1"/>
        <c:lblOffset val="100"/>
        <c:baseTimeUnit val="days"/>
      </c:dateAx>
      <c:valAx>
        <c:axId val="9617804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78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ad spend vs. follower growth</a:t>
            </a:r>
            <a:endParaRPr lang="en-IN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ScatterPlot!$C$1</c:f>
              <c:strCache>
                <c:ptCount val="1"/>
                <c:pt idx="0">
                  <c:v>Follower_Growth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ScatterPlot!$B$2:$B$51</c:f>
              <c:numCache>
                <c:formatCode>General</c:formatCode>
                <c:ptCount val="50"/>
                <c:pt idx="0">
                  <c:v>72893</c:v>
                </c:pt>
                <c:pt idx="1">
                  <c:v>47961</c:v>
                </c:pt>
                <c:pt idx="2">
                  <c:v>104794</c:v>
                </c:pt>
                <c:pt idx="3">
                  <c:v>81748</c:v>
                </c:pt>
                <c:pt idx="4">
                  <c:v>87847</c:v>
                </c:pt>
                <c:pt idx="5">
                  <c:v>79341</c:v>
                </c:pt>
                <c:pt idx="6">
                  <c:v>115027</c:v>
                </c:pt>
                <c:pt idx="7">
                  <c:v>102610</c:v>
                </c:pt>
                <c:pt idx="8">
                  <c:v>76268</c:v>
                </c:pt>
                <c:pt idx="9">
                  <c:v>137514</c:v>
                </c:pt>
                <c:pt idx="10">
                  <c:v>125177</c:v>
                </c:pt>
                <c:pt idx="11">
                  <c:v>82193</c:v>
                </c:pt>
                <c:pt idx="12">
                  <c:v>94709</c:v>
                </c:pt>
                <c:pt idx="13">
                  <c:v>100656</c:v>
                </c:pt>
                <c:pt idx="14">
                  <c:v>92834</c:v>
                </c:pt>
                <c:pt idx="15">
                  <c:v>105113</c:v>
                </c:pt>
                <c:pt idx="16">
                  <c:v>75885</c:v>
                </c:pt>
                <c:pt idx="17">
                  <c:v>81889</c:v>
                </c:pt>
                <c:pt idx="18">
                  <c:v>117382</c:v>
                </c:pt>
                <c:pt idx="19">
                  <c:v>83598</c:v>
                </c:pt>
                <c:pt idx="20">
                  <c:v>140831</c:v>
                </c:pt>
                <c:pt idx="21">
                  <c:v>105800</c:v>
                </c:pt>
                <c:pt idx="22">
                  <c:v>94018</c:v>
                </c:pt>
                <c:pt idx="23">
                  <c:v>125961</c:v>
                </c:pt>
                <c:pt idx="24">
                  <c:v>97294</c:v>
                </c:pt>
                <c:pt idx="25">
                  <c:v>107714</c:v>
                </c:pt>
                <c:pt idx="26">
                  <c:v>106549</c:v>
                </c:pt>
                <c:pt idx="27">
                  <c:v>108811</c:v>
                </c:pt>
                <c:pt idx="28">
                  <c:v>102222</c:v>
                </c:pt>
                <c:pt idx="29">
                  <c:v>101698</c:v>
                </c:pt>
                <c:pt idx="30">
                  <c:v>78502</c:v>
                </c:pt>
                <c:pt idx="31">
                  <c:v>72926</c:v>
                </c:pt>
                <c:pt idx="32">
                  <c:v>113474</c:v>
                </c:pt>
                <c:pt idx="33">
                  <c:v>120060</c:v>
                </c:pt>
                <c:pt idx="34">
                  <c:v>109203</c:v>
                </c:pt>
                <c:pt idx="35">
                  <c:v>117419</c:v>
                </c:pt>
                <c:pt idx="36">
                  <c:v>94129</c:v>
                </c:pt>
                <c:pt idx="37">
                  <c:v>136582</c:v>
                </c:pt>
                <c:pt idx="38">
                  <c:v>120234</c:v>
                </c:pt>
                <c:pt idx="39">
                  <c:v>95341</c:v>
                </c:pt>
                <c:pt idx="40">
                  <c:v>53940</c:v>
                </c:pt>
                <c:pt idx="41">
                  <c:v>88465</c:v>
                </c:pt>
                <c:pt idx="42">
                  <c:v>111650</c:v>
                </c:pt>
                <c:pt idx="43">
                  <c:v>74375</c:v>
                </c:pt>
                <c:pt idx="44">
                  <c:v>132926</c:v>
                </c:pt>
                <c:pt idx="45">
                  <c:v>59981</c:v>
                </c:pt>
                <c:pt idx="46">
                  <c:v>49129</c:v>
                </c:pt>
                <c:pt idx="47">
                  <c:v>57130</c:v>
                </c:pt>
                <c:pt idx="48">
                  <c:v>105490</c:v>
                </c:pt>
                <c:pt idx="49">
                  <c:v>85623</c:v>
                </c:pt>
              </c:numCache>
            </c:numRef>
          </c:xVal>
          <c:yVal>
            <c:numRef>
              <c:f>ScatterPlot!$C$2:$C$51</c:f>
              <c:numCache>
                <c:formatCode>General</c:formatCode>
                <c:ptCount val="50"/>
                <c:pt idx="0">
                  <c:v>929108</c:v>
                </c:pt>
                <c:pt idx="1">
                  <c:v>1033937</c:v>
                </c:pt>
                <c:pt idx="2">
                  <c:v>1132025</c:v>
                </c:pt>
                <c:pt idx="3">
                  <c:v>786564</c:v>
                </c:pt>
                <c:pt idx="4">
                  <c:v>1068450</c:v>
                </c:pt>
                <c:pt idx="5">
                  <c:v>933421</c:v>
                </c:pt>
                <c:pt idx="6">
                  <c:v>871480</c:v>
                </c:pt>
                <c:pt idx="7">
                  <c:v>1273686</c:v>
                </c:pt>
                <c:pt idx="8">
                  <c:v>808771</c:v>
                </c:pt>
                <c:pt idx="9">
                  <c:v>1333646</c:v>
                </c:pt>
                <c:pt idx="10">
                  <c:v>1333725</c:v>
                </c:pt>
                <c:pt idx="11">
                  <c:v>785466</c:v>
                </c:pt>
                <c:pt idx="12">
                  <c:v>1258677</c:v>
                </c:pt>
                <c:pt idx="13">
                  <c:v>1288064</c:v>
                </c:pt>
                <c:pt idx="14">
                  <c:v>1184208</c:v>
                </c:pt>
                <c:pt idx="15">
                  <c:v>1037244</c:v>
                </c:pt>
                <c:pt idx="16">
                  <c:v>994071</c:v>
                </c:pt>
                <c:pt idx="17">
                  <c:v>982958</c:v>
                </c:pt>
                <c:pt idx="18">
                  <c:v>1160799</c:v>
                </c:pt>
                <c:pt idx="19">
                  <c:v>1055104</c:v>
                </c:pt>
                <c:pt idx="20">
                  <c:v>895778</c:v>
                </c:pt>
                <c:pt idx="21">
                  <c:v>1102886</c:v>
                </c:pt>
                <c:pt idx="22">
                  <c:v>1072145</c:v>
                </c:pt>
                <c:pt idx="23">
                  <c:v>569274</c:v>
                </c:pt>
                <c:pt idx="24">
                  <c:v>1179152</c:v>
                </c:pt>
                <c:pt idx="25">
                  <c:v>770117</c:v>
                </c:pt>
                <c:pt idx="26">
                  <c:v>1423404</c:v>
                </c:pt>
                <c:pt idx="27">
                  <c:v>728959</c:v>
                </c:pt>
                <c:pt idx="28">
                  <c:v>1697452</c:v>
                </c:pt>
                <c:pt idx="29">
                  <c:v>480438</c:v>
                </c:pt>
                <c:pt idx="30">
                  <c:v>931911</c:v>
                </c:pt>
                <c:pt idx="31">
                  <c:v>1028676</c:v>
                </c:pt>
                <c:pt idx="32">
                  <c:v>1076445</c:v>
                </c:pt>
                <c:pt idx="33">
                  <c:v>1324524</c:v>
                </c:pt>
                <c:pt idx="34">
                  <c:v>1402810</c:v>
                </c:pt>
                <c:pt idx="35">
                  <c:v>935863</c:v>
                </c:pt>
                <c:pt idx="36">
                  <c:v>1143902</c:v>
                </c:pt>
                <c:pt idx="37">
                  <c:v>809798</c:v>
                </c:pt>
                <c:pt idx="38">
                  <c:v>1138218</c:v>
                </c:pt>
                <c:pt idx="39">
                  <c:v>1315569</c:v>
                </c:pt>
                <c:pt idx="40">
                  <c:v>913852</c:v>
                </c:pt>
                <c:pt idx="41">
                  <c:v>782286</c:v>
                </c:pt>
                <c:pt idx="42">
                  <c:v>1391437</c:v>
                </c:pt>
                <c:pt idx="43">
                  <c:v>1286926</c:v>
                </c:pt>
                <c:pt idx="44">
                  <c:v>497328</c:v>
                </c:pt>
                <c:pt idx="45">
                  <c:v>649421</c:v>
                </c:pt>
                <c:pt idx="46">
                  <c:v>1045133</c:v>
                </c:pt>
                <c:pt idx="47">
                  <c:v>1169498</c:v>
                </c:pt>
                <c:pt idx="48">
                  <c:v>1499439</c:v>
                </c:pt>
                <c:pt idx="49">
                  <c:v>1371977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A3-4A38-9C19-4828FCC98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677391"/>
        <c:axId val="1557670671"/>
      </c:scatterChart>
      <c:valAx>
        <c:axId val="155767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</a:t>
                </a:r>
                <a:r>
                  <a:rPr lang="en-IN" baseline="0"/>
                  <a:t> Spend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670671"/>
        <c:crosses val="autoZero"/>
        <c:crossBetween val="midCat"/>
      </c:valAx>
      <c:valAx>
        <c:axId val="15576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Follower</a:t>
                </a:r>
                <a:r>
                  <a:rPr lang="en-IN" baseline="0"/>
                  <a:t> 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67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247649</xdr:colOff>
      <xdr:row>2</xdr:row>
      <xdr:rowOff>171449</xdr:rowOff>
    </xdr:from>
    <xdr:to>
      <xdr:col>24</xdr:col>
      <xdr:colOff>333375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A4D2A-B8DC-A398-0080-EDABCF2CB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38099</xdr:colOff>
      <xdr:row>0</xdr:row>
      <xdr:rowOff>166686</xdr:rowOff>
    </xdr:from>
    <xdr:to>
      <xdr:col>19</xdr:col>
      <xdr:colOff>219074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E83C15-4867-7331-8B0D-C4EB88087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409574</xdr:colOff>
      <xdr:row>1</xdr:row>
      <xdr:rowOff>161924</xdr:rowOff>
    </xdr:from>
    <xdr:to>
      <xdr:col>16</xdr:col>
      <xdr:colOff>57149</xdr:colOff>
      <xdr:row>18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C47DED-78C7-56B7-CB56-F3E198908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UMAR" refreshedDate="46009.552851967594" createdVersion="8" refreshedVersion="8" minRefreshableVersion="3" recordCount="200" xr:uid="{A28A8775-B4F8-4792-BE97-18FD317E4F05}">
  <cacheSource type="worksheet">
    <worksheetSource name="Engagment_Summary"/>
  </cacheSource>
  <cacheFields count="10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9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 pivotCacheId="7449438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</r>
  <r>
    <x v="0"/>
    <x v="1"/>
    <n v="1312"/>
    <n v="310"/>
    <n v="42654"/>
    <n v="4.9800000000000004"/>
    <n v="9566"/>
  </r>
  <r>
    <x v="0"/>
    <x v="2"/>
    <n v="584"/>
    <n v="169"/>
    <n v="146834"/>
    <n v="8.31"/>
    <n v="26752"/>
  </r>
  <r>
    <x v="0"/>
    <x v="3"/>
    <n v="1535"/>
    <n v="445"/>
    <n v="395536"/>
    <n v="4.1100000000000003"/>
    <n v="30671"/>
  </r>
  <r>
    <x v="1"/>
    <x v="0"/>
    <n v="656"/>
    <n v="139"/>
    <n v="49157"/>
    <n v="9.0500000000000007"/>
    <n v="9920"/>
  </r>
  <r>
    <x v="1"/>
    <x v="1"/>
    <n v="1697"/>
    <n v="414"/>
    <n v="316555"/>
    <n v="2.37"/>
    <n v="7924"/>
  </r>
  <r>
    <x v="1"/>
    <x v="2"/>
    <n v="436"/>
    <n v="250"/>
    <n v="254347"/>
    <n v="4.01"/>
    <n v="8912"/>
  </r>
  <r>
    <x v="1"/>
    <x v="3"/>
    <n v="1197"/>
    <n v="203"/>
    <n v="413878"/>
    <n v="3.16"/>
    <n v="21205"/>
  </r>
  <r>
    <x v="2"/>
    <x v="0"/>
    <n v="1048"/>
    <n v="155"/>
    <n v="456946"/>
    <n v="2.46"/>
    <n v="11329"/>
  </r>
  <r>
    <x v="2"/>
    <x v="1"/>
    <n v="1753"/>
    <n v="371"/>
    <n v="169496"/>
    <n v="8.11"/>
    <n v="46670"/>
  </r>
  <r>
    <x v="2"/>
    <x v="2"/>
    <n v="1335"/>
    <n v="40"/>
    <n v="122732"/>
    <n v="8.19"/>
    <n v="22482"/>
  </r>
  <r>
    <x v="2"/>
    <x v="3"/>
    <n v="403"/>
    <n v="66"/>
    <n v="382851"/>
    <n v="3.49"/>
    <n v="24313"/>
  </r>
  <r>
    <x v="3"/>
    <x v="0"/>
    <n v="911"/>
    <n v="282"/>
    <n v="35664"/>
    <n v="6.92"/>
    <n v="18050"/>
  </r>
  <r>
    <x v="3"/>
    <x v="1"/>
    <n v="1779"/>
    <n v="109"/>
    <n v="26295"/>
    <n v="9.1199999999999992"/>
    <n v="30635"/>
  </r>
  <r>
    <x v="3"/>
    <x v="2"/>
    <n v="1238"/>
    <n v="403"/>
    <n v="298421"/>
    <n v="3.5"/>
    <n v="31280"/>
  </r>
  <r>
    <x v="3"/>
    <x v="3"/>
    <n v="308"/>
    <n v="431"/>
    <n v="426184"/>
    <n v="2.62"/>
    <n v="1783"/>
  </r>
  <r>
    <x v="4"/>
    <x v="0"/>
    <n v="226"/>
    <n v="445"/>
    <n v="419447"/>
    <n v="9.36"/>
    <n v="9566"/>
  </r>
  <r>
    <x v="4"/>
    <x v="1"/>
    <n v="505"/>
    <n v="441"/>
    <n v="220020"/>
    <n v="4.4800000000000004"/>
    <n v="42307"/>
  </r>
  <r>
    <x v="4"/>
    <x v="2"/>
    <n v="1420"/>
    <n v="63"/>
    <n v="315305"/>
    <n v="6.19"/>
    <n v="5914"/>
  </r>
  <r>
    <x v="4"/>
    <x v="3"/>
    <n v="144"/>
    <n v="53"/>
    <n v="113678"/>
    <n v="8.7200000000000006"/>
    <n v="30060"/>
  </r>
  <r>
    <x v="5"/>
    <x v="0"/>
    <n v="1757"/>
    <n v="85"/>
    <n v="58223"/>
    <n v="8.74"/>
    <n v="22728"/>
  </r>
  <r>
    <x v="5"/>
    <x v="1"/>
    <n v="350"/>
    <n v="41"/>
    <n v="251694"/>
    <n v="1.91"/>
    <n v="38610"/>
  </r>
  <r>
    <x v="5"/>
    <x v="2"/>
    <n v="987"/>
    <n v="440"/>
    <n v="389810"/>
    <n v="4.66"/>
    <n v="2932"/>
  </r>
  <r>
    <x v="5"/>
    <x v="3"/>
    <n v="883"/>
    <n v="369"/>
    <n v="233694"/>
    <n v="2.88"/>
    <n v="15071"/>
  </r>
  <r>
    <x v="6"/>
    <x v="0"/>
    <n v="1960"/>
    <n v="115"/>
    <n v="154169"/>
    <n v="3.74"/>
    <n v="10740"/>
  </r>
  <r>
    <x v="6"/>
    <x v="1"/>
    <n v="170"/>
    <n v="334"/>
    <n v="334626"/>
    <n v="6.44"/>
    <n v="43420"/>
  </r>
  <r>
    <x v="6"/>
    <x v="2"/>
    <n v="704"/>
    <n v="275"/>
    <n v="226002"/>
    <n v="8.56"/>
    <n v="32393"/>
  </r>
  <r>
    <x v="6"/>
    <x v="3"/>
    <n v="224"/>
    <n v="64"/>
    <n v="156683"/>
    <n v="4.5599999999999996"/>
    <n v="28474"/>
  </r>
  <r>
    <x v="7"/>
    <x v="0"/>
    <n v="508"/>
    <n v="349"/>
    <n v="473812"/>
    <n v="7.88"/>
    <n v="17328"/>
  </r>
  <r>
    <x v="7"/>
    <x v="1"/>
    <n v="1391"/>
    <n v="430"/>
    <n v="295032"/>
    <n v="7.86"/>
    <n v="26067"/>
  </r>
  <r>
    <x v="7"/>
    <x v="2"/>
    <n v="1701"/>
    <n v="385"/>
    <n v="198278"/>
    <n v="5.34"/>
    <n v="32763"/>
  </r>
  <r>
    <x v="7"/>
    <x v="3"/>
    <n v="804"/>
    <n v="487"/>
    <n v="306564"/>
    <n v="5.52"/>
    <n v="26452"/>
  </r>
  <r>
    <x v="8"/>
    <x v="0"/>
    <n v="653"/>
    <n v="112"/>
    <n v="23664"/>
    <n v="4.05"/>
    <n v="15353"/>
  </r>
  <r>
    <x v="8"/>
    <x v="1"/>
    <n v="160"/>
    <n v="478"/>
    <n v="435034"/>
    <n v="7.73"/>
    <n v="4839"/>
  </r>
  <r>
    <x v="8"/>
    <x v="2"/>
    <n v="1756"/>
    <n v="261"/>
    <n v="287574"/>
    <n v="4.3600000000000003"/>
    <n v="39272"/>
  </r>
  <r>
    <x v="8"/>
    <x v="3"/>
    <n v="576"/>
    <n v="101"/>
    <n v="62499"/>
    <n v="3.48"/>
    <n v="16804"/>
  </r>
  <r>
    <x v="9"/>
    <x v="0"/>
    <n v="645"/>
    <n v="293"/>
    <n v="437968"/>
    <n v="7.83"/>
    <n v="49303"/>
  </r>
  <r>
    <x v="9"/>
    <x v="1"/>
    <n v="214"/>
    <n v="411"/>
    <n v="125034"/>
    <n v="6.11"/>
    <n v="26455"/>
  </r>
  <r>
    <x v="9"/>
    <x v="2"/>
    <n v="826"/>
    <n v="498"/>
    <n v="449994"/>
    <n v="9.43"/>
    <n v="12384"/>
  </r>
  <r>
    <x v="9"/>
    <x v="3"/>
    <n v="460"/>
    <n v="141"/>
    <n v="320650"/>
    <n v="4.04"/>
    <n v="49372"/>
  </r>
  <r>
    <x v="10"/>
    <x v="0"/>
    <n v="1528"/>
    <n v="203"/>
    <n v="489188"/>
    <n v="6.23"/>
    <n v="47101"/>
  </r>
  <r>
    <x v="10"/>
    <x v="1"/>
    <n v="1534"/>
    <n v="200"/>
    <n v="307612"/>
    <n v="6.01"/>
    <n v="37903"/>
  </r>
  <r>
    <x v="10"/>
    <x v="2"/>
    <n v="485"/>
    <n v="448"/>
    <n v="434883"/>
    <n v="8.5500000000000007"/>
    <n v="33258"/>
  </r>
  <r>
    <x v="10"/>
    <x v="3"/>
    <n v="1210"/>
    <n v="178"/>
    <n v="102042"/>
    <n v="5.42"/>
    <n v="6915"/>
  </r>
  <r>
    <x v="11"/>
    <x v="0"/>
    <n v="215"/>
    <n v="139"/>
    <n v="325444"/>
    <n v="3.25"/>
    <n v="35501"/>
  </r>
  <r>
    <x v="11"/>
    <x v="1"/>
    <n v="1078"/>
    <n v="20"/>
    <n v="183924"/>
    <n v="8.84"/>
    <n v="14203"/>
  </r>
  <r>
    <x v="11"/>
    <x v="2"/>
    <n v="1751"/>
    <n v="86"/>
    <n v="188655"/>
    <n v="7.24"/>
    <n v="22206"/>
  </r>
  <r>
    <x v="11"/>
    <x v="3"/>
    <n v="221"/>
    <n v="31"/>
    <n v="87443"/>
    <n v="6.19"/>
    <n v="10283"/>
  </r>
  <r>
    <x v="12"/>
    <x v="0"/>
    <n v="1685"/>
    <n v="76"/>
    <n v="453799"/>
    <n v="5.71"/>
    <n v="24913"/>
  </r>
  <r>
    <x v="12"/>
    <x v="1"/>
    <n v="248"/>
    <n v="211"/>
    <n v="379380"/>
    <n v="9.0399999999999991"/>
    <n v="26925"/>
  </r>
  <r>
    <x v="12"/>
    <x v="2"/>
    <n v="1300"/>
    <n v="71"/>
    <n v="186454"/>
    <n v="3.91"/>
    <n v="9942"/>
  </r>
  <r>
    <x v="12"/>
    <x v="3"/>
    <n v="422"/>
    <n v="394"/>
    <n v="239044"/>
    <n v="7.83"/>
    <n v="32929"/>
  </r>
  <r>
    <x v="13"/>
    <x v="0"/>
    <n v="1429"/>
    <n v="182"/>
    <n v="101332"/>
    <n v="7.16"/>
    <n v="37829"/>
  </r>
  <r>
    <x v="13"/>
    <x v="1"/>
    <n v="1520"/>
    <n v="475"/>
    <n v="496982"/>
    <n v="6.41"/>
    <n v="24384"/>
  </r>
  <r>
    <x v="13"/>
    <x v="2"/>
    <n v="557"/>
    <n v="360"/>
    <n v="318779"/>
    <n v="8.02"/>
    <n v="25797"/>
  </r>
  <r>
    <x v="13"/>
    <x v="3"/>
    <n v="728"/>
    <n v="395"/>
    <n v="370971"/>
    <n v="3.86"/>
    <n v="12646"/>
  </r>
  <r>
    <x v="14"/>
    <x v="0"/>
    <n v="1592"/>
    <n v="20"/>
    <n v="378054"/>
    <n v="9.09"/>
    <n v="26663"/>
  </r>
  <r>
    <x v="14"/>
    <x v="1"/>
    <n v="1842"/>
    <n v="414"/>
    <n v="307524"/>
    <n v="1.76"/>
    <n v="40478"/>
  </r>
  <r>
    <x v="14"/>
    <x v="2"/>
    <n v="751"/>
    <n v="491"/>
    <n v="434047"/>
    <n v="9.24"/>
    <n v="15476"/>
  </r>
  <r>
    <x v="14"/>
    <x v="3"/>
    <n v="1409"/>
    <n v="309"/>
    <n v="64583"/>
    <n v="8.99"/>
    <n v="10217"/>
  </r>
  <r>
    <x v="15"/>
    <x v="0"/>
    <n v="778"/>
    <n v="401"/>
    <n v="50793"/>
    <n v="3.4"/>
    <n v="21939"/>
  </r>
  <r>
    <x v="15"/>
    <x v="1"/>
    <n v="443"/>
    <n v="345"/>
    <n v="474162"/>
    <n v="9.1999999999999993"/>
    <n v="47462"/>
  </r>
  <r>
    <x v="15"/>
    <x v="2"/>
    <n v="1472"/>
    <n v="347"/>
    <n v="392355"/>
    <n v="8.59"/>
    <n v="30270"/>
  </r>
  <r>
    <x v="15"/>
    <x v="3"/>
    <n v="123"/>
    <n v="155"/>
    <n v="119934"/>
    <n v="3.5"/>
    <n v="5442"/>
  </r>
  <r>
    <x v="16"/>
    <x v="0"/>
    <n v="817"/>
    <n v="151"/>
    <n v="422625"/>
    <n v="2.36"/>
    <n v="1083"/>
  </r>
  <r>
    <x v="16"/>
    <x v="1"/>
    <n v="198"/>
    <n v="217"/>
    <n v="239753"/>
    <n v="7.36"/>
    <n v="11901"/>
  </r>
  <r>
    <x v="16"/>
    <x v="2"/>
    <n v="1911"/>
    <n v="231"/>
    <n v="268516"/>
    <n v="8.5500000000000007"/>
    <n v="24018"/>
  </r>
  <r>
    <x v="16"/>
    <x v="3"/>
    <n v="1218"/>
    <n v="212"/>
    <n v="63177"/>
    <n v="8.1300000000000008"/>
    <n v="38883"/>
  </r>
  <r>
    <x v="17"/>
    <x v="0"/>
    <n v="1433"/>
    <n v="408"/>
    <n v="370269"/>
    <n v="3.3"/>
    <n v="30575"/>
  </r>
  <r>
    <x v="17"/>
    <x v="1"/>
    <n v="250"/>
    <n v="429"/>
    <n v="453423"/>
    <n v="1.77"/>
    <n v="2315"/>
  </r>
  <r>
    <x v="17"/>
    <x v="2"/>
    <n v="752"/>
    <n v="153"/>
    <n v="64906"/>
    <n v="2.09"/>
    <n v="12148"/>
  </r>
  <r>
    <x v="17"/>
    <x v="3"/>
    <n v="1918"/>
    <n v="212"/>
    <n v="94360"/>
    <n v="7.36"/>
    <n v="36851"/>
  </r>
  <r>
    <x v="18"/>
    <x v="0"/>
    <n v="1939"/>
    <n v="67"/>
    <n v="187183"/>
    <n v="6.25"/>
    <n v="41215"/>
  </r>
  <r>
    <x v="18"/>
    <x v="1"/>
    <n v="1929"/>
    <n v="267"/>
    <n v="379363"/>
    <n v="1.75"/>
    <n v="43836"/>
  </r>
  <r>
    <x v="18"/>
    <x v="2"/>
    <n v="437"/>
    <n v="330"/>
    <n v="476486"/>
    <n v="4.97"/>
    <n v="4509"/>
  </r>
  <r>
    <x v="18"/>
    <x v="3"/>
    <n v="307"/>
    <n v="189"/>
    <n v="117767"/>
    <n v="9.3000000000000007"/>
    <n v="27822"/>
  </r>
  <r>
    <x v="19"/>
    <x v="0"/>
    <n v="1527"/>
    <n v="303"/>
    <n v="388555"/>
    <n v="8.9"/>
    <n v="36397"/>
  </r>
  <r>
    <x v="19"/>
    <x v="1"/>
    <n v="643"/>
    <n v="358"/>
    <n v="157599"/>
    <n v="3.88"/>
    <n v="7285"/>
  </r>
  <r>
    <x v="19"/>
    <x v="2"/>
    <n v="201"/>
    <n v="221"/>
    <n v="309772"/>
    <n v="5.9"/>
    <n v="33174"/>
  </r>
  <r>
    <x v="19"/>
    <x v="3"/>
    <n v="414"/>
    <n v="47"/>
    <n v="199178"/>
    <n v="1.53"/>
    <n v="6742"/>
  </r>
  <r>
    <x v="20"/>
    <x v="0"/>
    <n v="703"/>
    <n v="441"/>
    <n v="357089"/>
    <n v="6.5"/>
    <n v="32478"/>
  </r>
  <r>
    <x v="20"/>
    <x v="1"/>
    <n v="508"/>
    <n v="69"/>
    <n v="23492"/>
    <n v="3.16"/>
    <n v="42824"/>
  </r>
  <r>
    <x v="20"/>
    <x v="2"/>
    <n v="697"/>
    <n v="61"/>
    <n v="258287"/>
    <n v="8.25"/>
    <n v="21208"/>
  </r>
  <r>
    <x v="20"/>
    <x v="3"/>
    <n v="1707"/>
    <n v="223"/>
    <n v="256910"/>
    <n v="5.41"/>
    <n v="44321"/>
  </r>
  <r>
    <x v="21"/>
    <x v="0"/>
    <n v="642"/>
    <n v="66"/>
    <n v="346522"/>
    <n v="5.85"/>
    <n v="13116"/>
  </r>
  <r>
    <x v="21"/>
    <x v="1"/>
    <n v="859"/>
    <n v="473"/>
    <n v="209987"/>
    <n v="4.46"/>
    <n v="30214"/>
  </r>
  <r>
    <x v="21"/>
    <x v="2"/>
    <n v="191"/>
    <n v="154"/>
    <n v="240550"/>
    <n v="5.22"/>
    <n v="15827"/>
  </r>
  <r>
    <x v="21"/>
    <x v="3"/>
    <n v="1814"/>
    <n v="157"/>
    <n v="305827"/>
    <n v="1.99"/>
    <n v="46643"/>
  </r>
  <r>
    <x v="22"/>
    <x v="0"/>
    <n v="1466"/>
    <n v="69"/>
    <n v="54935"/>
    <n v="6.85"/>
    <n v="36484"/>
  </r>
  <r>
    <x v="22"/>
    <x v="1"/>
    <n v="947"/>
    <n v="407"/>
    <n v="319186"/>
    <n v="3.32"/>
    <n v="4996"/>
  </r>
  <r>
    <x v="22"/>
    <x v="2"/>
    <n v="1821"/>
    <n v="218"/>
    <n v="439080"/>
    <n v="5.68"/>
    <n v="36095"/>
  </r>
  <r>
    <x v="22"/>
    <x v="3"/>
    <n v="1507"/>
    <n v="463"/>
    <n v="258944"/>
    <n v="6.08"/>
    <n v="16443"/>
  </r>
  <r>
    <x v="23"/>
    <x v="0"/>
    <n v="1075"/>
    <n v="173"/>
    <n v="51395"/>
    <n v="4.66"/>
    <n v="47812"/>
  </r>
  <r>
    <x v="23"/>
    <x v="1"/>
    <n v="171"/>
    <n v="277"/>
    <n v="309483"/>
    <n v="8.6999999999999993"/>
    <n v="38452"/>
  </r>
  <r>
    <x v="23"/>
    <x v="2"/>
    <n v="1487"/>
    <n v="337"/>
    <n v="87305"/>
    <n v="2.46"/>
    <n v="30428"/>
  </r>
  <r>
    <x v="23"/>
    <x v="3"/>
    <n v="454"/>
    <n v="105"/>
    <n v="121091"/>
    <n v="7.97"/>
    <n v="9269"/>
  </r>
  <r>
    <x v="24"/>
    <x v="0"/>
    <n v="187"/>
    <n v="236"/>
    <n v="51087"/>
    <n v="9.41"/>
    <n v="29533"/>
  </r>
  <r>
    <x v="24"/>
    <x v="1"/>
    <n v="513"/>
    <n v="441"/>
    <n v="338847"/>
    <n v="2.68"/>
    <n v="39997"/>
  </r>
  <r>
    <x v="24"/>
    <x v="2"/>
    <n v="628"/>
    <n v="183"/>
    <n v="487523"/>
    <n v="7.32"/>
    <n v="5391"/>
  </r>
  <r>
    <x v="24"/>
    <x v="3"/>
    <n v="278"/>
    <n v="218"/>
    <n v="301695"/>
    <n v="4.68"/>
    <n v="22373"/>
  </r>
  <r>
    <x v="25"/>
    <x v="0"/>
    <n v="1854"/>
    <n v="161"/>
    <n v="282466"/>
    <n v="5.17"/>
    <n v="1810"/>
  </r>
  <r>
    <x v="25"/>
    <x v="1"/>
    <n v="1710"/>
    <n v="378"/>
    <n v="336661"/>
    <n v="6.2"/>
    <n v="28498"/>
  </r>
  <r>
    <x v="25"/>
    <x v="2"/>
    <n v="330"/>
    <n v="232"/>
    <n v="88455"/>
    <n v="2.69"/>
    <n v="39530"/>
  </r>
  <r>
    <x v="25"/>
    <x v="3"/>
    <n v="1293"/>
    <n v="408"/>
    <n v="62535"/>
    <n v="8.9"/>
    <n v="37876"/>
  </r>
  <r>
    <x v="26"/>
    <x v="0"/>
    <n v="1696"/>
    <n v="71"/>
    <n v="421957"/>
    <n v="3.79"/>
    <n v="36103"/>
  </r>
  <r>
    <x v="26"/>
    <x v="1"/>
    <n v="1902"/>
    <n v="196"/>
    <n v="470269"/>
    <n v="4.79"/>
    <n v="26103"/>
  </r>
  <r>
    <x v="26"/>
    <x v="2"/>
    <n v="1441"/>
    <n v="268"/>
    <n v="309904"/>
    <n v="6.37"/>
    <n v="3455"/>
  </r>
  <r>
    <x v="26"/>
    <x v="3"/>
    <n v="452"/>
    <n v="161"/>
    <n v="221274"/>
    <n v="2.65"/>
    <n v="40888"/>
  </r>
  <r>
    <x v="27"/>
    <x v="0"/>
    <n v="1494"/>
    <n v="375"/>
    <n v="220616"/>
    <n v="1.81"/>
    <n v="22724"/>
  </r>
  <r>
    <x v="27"/>
    <x v="1"/>
    <n v="1514"/>
    <n v="141"/>
    <n v="35842"/>
    <n v="7.47"/>
    <n v="18601"/>
  </r>
  <r>
    <x v="27"/>
    <x v="2"/>
    <n v="1937"/>
    <n v="210"/>
    <n v="20607"/>
    <n v="4.2"/>
    <n v="20861"/>
  </r>
  <r>
    <x v="27"/>
    <x v="3"/>
    <n v="736"/>
    <n v="163"/>
    <n v="451894"/>
    <n v="5.43"/>
    <n v="46625"/>
  </r>
  <r>
    <x v="28"/>
    <x v="0"/>
    <n v="1502"/>
    <n v="70"/>
    <n v="465553"/>
    <n v="3.32"/>
    <n v="20692"/>
  </r>
  <r>
    <x v="28"/>
    <x v="1"/>
    <n v="1623"/>
    <n v="246"/>
    <n v="415815"/>
    <n v="8.11"/>
    <n v="18656"/>
  </r>
  <r>
    <x v="28"/>
    <x v="2"/>
    <n v="1592"/>
    <n v="233"/>
    <n v="327183"/>
    <n v="6.66"/>
    <n v="13316"/>
  </r>
  <r>
    <x v="28"/>
    <x v="3"/>
    <n v="1004"/>
    <n v="128"/>
    <n v="488901"/>
    <n v="8.09"/>
    <n v="49558"/>
  </r>
  <r>
    <x v="29"/>
    <x v="0"/>
    <n v="1092"/>
    <n v="408"/>
    <n v="280795"/>
    <n v="8.44"/>
    <n v="4683"/>
  </r>
  <r>
    <x v="29"/>
    <x v="1"/>
    <n v="1155"/>
    <n v="425"/>
    <n v="93347"/>
    <n v="2.02"/>
    <n v="47502"/>
  </r>
  <r>
    <x v="29"/>
    <x v="2"/>
    <n v="1137"/>
    <n v="226"/>
    <n v="81119"/>
    <n v="7.74"/>
    <n v="35359"/>
  </r>
  <r>
    <x v="29"/>
    <x v="3"/>
    <n v="1900"/>
    <n v="311"/>
    <n v="25177"/>
    <n v="2.89"/>
    <n v="14154"/>
  </r>
  <r>
    <x v="30"/>
    <x v="0"/>
    <n v="1814"/>
    <n v="49"/>
    <n v="140804"/>
    <n v="1.76"/>
    <n v="4313"/>
  </r>
  <r>
    <x v="30"/>
    <x v="1"/>
    <n v="1980"/>
    <n v="204"/>
    <n v="379431"/>
    <n v="3.09"/>
    <n v="25140"/>
  </r>
  <r>
    <x v="30"/>
    <x v="2"/>
    <n v="1786"/>
    <n v="257"/>
    <n v="274831"/>
    <n v="4.68"/>
    <n v="9118"/>
  </r>
  <r>
    <x v="30"/>
    <x v="3"/>
    <n v="1495"/>
    <n v="35"/>
    <n v="136845"/>
    <n v="4.4800000000000004"/>
    <n v="39931"/>
  </r>
  <r>
    <x v="31"/>
    <x v="0"/>
    <n v="1013"/>
    <n v="110"/>
    <n v="466382"/>
    <n v="5.3"/>
    <n v="37132"/>
  </r>
  <r>
    <x v="31"/>
    <x v="1"/>
    <n v="816"/>
    <n v="196"/>
    <n v="95728"/>
    <n v="8.1999999999999993"/>
    <n v="17951"/>
  </r>
  <r>
    <x v="31"/>
    <x v="2"/>
    <n v="1633"/>
    <n v="445"/>
    <n v="371156"/>
    <n v="2.2200000000000002"/>
    <n v="2798"/>
  </r>
  <r>
    <x v="31"/>
    <x v="3"/>
    <n v="891"/>
    <n v="45"/>
    <n v="95410"/>
    <n v="8.33"/>
    <n v="15045"/>
  </r>
  <r>
    <x v="32"/>
    <x v="0"/>
    <n v="1855"/>
    <n v="133"/>
    <n v="349413"/>
    <n v="3.3"/>
    <n v="14548"/>
  </r>
  <r>
    <x v="32"/>
    <x v="1"/>
    <n v="651"/>
    <n v="353"/>
    <n v="224699"/>
    <n v="5.61"/>
    <n v="45708"/>
  </r>
  <r>
    <x v="32"/>
    <x v="2"/>
    <n v="118"/>
    <n v="262"/>
    <n v="487896"/>
    <n v="2.56"/>
    <n v="12350"/>
  </r>
  <r>
    <x v="32"/>
    <x v="3"/>
    <n v="1331"/>
    <n v="430"/>
    <n v="14437"/>
    <n v="3.29"/>
    <n v="40868"/>
  </r>
  <r>
    <x v="33"/>
    <x v="0"/>
    <n v="1748"/>
    <n v="176"/>
    <n v="383681"/>
    <n v="9.24"/>
    <n v="43122"/>
  </r>
  <r>
    <x v="33"/>
    <x v="1"/>
    <n v="663"/>
    <n v="236"/>
    <n v="479490"/>
    <n v="4.51"/>
    <n v="23853"/>
  </r>
  <r>
    <x v="33"/>
    <x v="2"/>
    <n v="1040"/>
    <n v="149"/>
    <n v="124404"/>
    <n v="5.23"/>
    <n v="45380"/>
  </r>
  <r>
    <x v="33"/>
    <x v="3"/>
    <n v="1166"/>
    <n v="442"/>
    <n v="336949"/>
    <n v="4.68"/>
    <n v="7705"/>
  </r>
  <r>
    <x v="34"/>
    <x v="0"/>
    <n v="115"/>
    <n v="281"/>
    <n v="357265"/>
    <n v="9.23"/>
    <n v="25525"/>
  </r>
  <r>
    <x v="34"/>
    <x v="1"/>
    <n v="1249"/>
    <n v="351"/>
    <n v="321307"/>
    <n v="6.37"/>
    <n v="20560"/>
  </r>
  <r>
    <x v="34"/>
    <x v="2"/>
    <n v="1501"/>
    <n v="75"/>
    <n v="262569"/>
    <n v="2.0099999999999998"/>
    <n v="19119"/>
  </r>
  <r>
    <x v="34"/>
    <x v="3"/>
    <n v="1411"/>
    <n v="186"/>
    <n v="461669"/>
    <n v="3.72"/>
    <n v="43999"/>
  </r>
  <r>
    <x v="35"/>
    <x v="0"/>
    <n v="1556"/>
    <n v="476"/>
    <n v="351556"/>
    <n v="3.89"/>
    <n v="10825"/>
  </r>
  <r>
    <x v="35"/>
    <x v="1"/>
    <n v="1159"/>
    <n v="411"/>
    <n v="135987"/>
    <n v="8.6999999999999993"/>
    <n v="40323"/>
  </r>
  <r>
    <x v="35"/>
    <x v="2"/>
    <n v="927"/>
    <n v="358"/>
    <n v="177554"/>
    <n v="6.95"/>
    <n v="48270"/>
  </r>
  <r>
    <x v="35"/>
    <x v="3"/>
    <n v="152"/>
    <n v="355"/>
    <n v="270766"/>
    <n v="9.48"/>
    <n v="18001"/>
  </r>
  <r>
    <x v="36"/>
    <x v="0"/>
    <n v="1957"/>
    <n v="234"/>
    <n v="222126"/>
    <n v="4.6100000000000003"/>
    <n v="3314"/>
  </r>
  <r>
    <x v="36"/>
    <x v="1"/>
    <n v="1294"/>
    <n v="382"/>
    <n v="309914"/>
    <n v="8.0299999999999994"/>
    <n v="23489"/>
  </r>
  <r>
    <x v="36"/>
    <x v="2"/>
    <n v="1587"/>
    <n v="385"/>
    <n v="126582"/>
    <n v="6.99"/>
    <n v="42832"/>
  </r>
  <r>
    <x v="36"/>
    <x v="3"/>
    <n v="1707"/>
    <n v="263"/>
    <n v="485280"/>
    <n v="9.0299999999999994"/>
    <n v="24494"/>
  </r>
  <r>
    <x v="37"/>
    <x v="0"/>
    <n v="1138"/>
    <n v="173"/>
    <n v="453243"/>
    <n v="2.86"/>
    <n v="44097"/>
  </r>
  <r>
    <x v="37"/>
    <x v="1"/>
    <n v="1895"/>
    <n v="305"/>
    <n v="104967"/>
    <n v="3.85"/>
    <n v="31853"/>
  </r>
  <r>
    <x v="37"/>
    <x v="2"/>
    <n v="362"/>
    <n v="399"/>
    <n v="145608"/>
    <n v="7.3"/>
    <n v="37636"/>
  </r>
  <r>
    <x v="37"/>
    <x v="3"/>
    <n v="1662"/>
    <n v="487"/>
    <n v="105980"/>
    <n v="9.08"/>
    <n v="22996"/>
  </r>
  <r>
    <x v="38"/>
    <x v="0"/>
    <n v="1440"/>
    <n v="65"/>
    <n v="126524"/>
    <n v="4.34"/>
    <n v="49772"/>
  </r>
  <r>
    <x v="38"/>
    <x v="1"/>
    <n v="1884"/>
    <n v="177"/>
    <n v="230448"/>
    <n v="7.8"/>
    <n v="22713"/>
  </r>
  <r>
    <x v="38"/>
    <x v="2"/>
    <n v="861"/>
    <n v="153"/>
    <n v="317007"/>
    <n v="3.85"/>
    <n v="8718"/>
  </r>
  <r>
    <x v="38"/>
    <x v="3"/>
    <n v="1063"/>
    <n v="47"/>
    <n v="464239"/>
    <n v="6.58"/>
    <n v="39031"/>
  </r>
  <r>
    <x v="39"/>
    <x v="0"/>
    <n v="1371"/>
    <n v="56"/>
    <n v="257579"/>
    <n v="8.6199999999999992"/>
    <n v="33799"/>
  </r>
  <r>
    <x v="39"/>
    <x v="1"/>
    <n v="345"/>
    <n v="464"/>
    <n v="366881"/>
    <n v="4.55"/>
    <n v="20553"/>
  </r>
  <r>
    <x v="39"/>
    <x v="2"/>
    <n v="946"/>
    <n v="47"/>
    <n v="466575"/>
    <n v="8.33"/>
    <n v="10002"/>
  </r>
  <r>
    <x v="39"/>
    <x v="3"/>
    <n v="510"/>
    <n v="195"/>
    <n v="224534"/>
    <n v="9.4"/>
    <n v="30987"/>
  </r>
  <r>
    <x v="40"/>
    <x v="0"/>
    <n v="393"/>
    <n v="181"/>
    <n v="462142"/>
    <n v="7.23"/>
    <n v="6296"/>
  </r>
  <r>
    <x v="40"/>
    <x v="1"/>
    <n v="1098"/>
    <n v="190"/>
    <n v="340842"/>
    <n v="9.39"/>
    <n v="21539"/>
  </r>
  <r>
    <x v="40"/>
    <x v="2"/>
    <n v="1399"/>
    <n v="49"/>
    <n v="12471"/>
    <n v="5.12"/>
    <n v="14722"/>
  </r>
  <r>
    <x v="40"/>
    <x v="3"/>
    <n v="1658"/>
    <n v="416"/>
    <n v="98397"/>
    <n v="6.11"/>
    <n v="11383"/>
  </r>
  <r>
    <x v="41"/>
    <x v="0"/>
    <n v="1102"/>
    <n v="422"/>
    <n v="410330"/>
    <n v="7.74"/>
    <n v="9480"/>
  </r>
  <r>
    <x v="41"/>
    <x v="1"/>
    <n v="1358"/>
    <n v="242"/>
    <n v="342129"/>
    <n v="4.9400000000000004"/>
    <n v="29116"/>
  </r>
  <r>
    <x v="41"/>
    <x v="2"/>
    <n v="1077"/>
    <n v="216"/>
    <n v="12447"/>
    <n v="1.8"/>
    <n v="14068"/>
  </r>
  <r>
    <x v="41"/>
    <x v="3"/>
    <n v="1596"/>
    <n v="211"/>
    <n v="17380"/>
    <n v="8.64"/>
    <n v="35801"/>
  </r>
  <r>
    <x v="42"/>
    <x v="0"/>
    <n v="490"/>
    <n v="29"/>
    <n v="364810"/>
    <n v="1.53"/>
    <n v="49077"/>
  </r>
  <r>
    <x v="42"/>
    <x v="1"/>
    <n v="609"/>
    <n v="135"/>
    <n v="373606"/>
    <n v="8.52"/>
    <n v="21453"/>
  </r>
  <r>
    <x v="42"/>
    <x v="2"/>
    <n v="364"/>
    <n v="72"/>
    <n v="211090"/>
    <n v="5.53"/>
    <n v="21061"/>
  </r>
  <r>
    <x v="42"/>
    <x v="3"/>
    <n v="442"/>
    <n v="53"/>
    <n v="441931"/>
    <n v="1.87"/>
    <n v="20059"/>
  </r>
  <r>
    <x v="43"/>
    <x v="0"/>
    <n v="1033"/>
    <n v="392"/>
    <n v="282780"/>
    <n v="6.27"/>
    <n v="23140"/>
  </r>
  <r>
    <x v="43"/>
    <x v="1"/>
    <n v="988"/>
    <n v="474"/>
    <n v="370070"/>
    <n v="9.4600000000000009"/>
    <n v="23461"/>
  </r>
  <r>
    <x v="43"/>
    <x v="2"/>
    <n v="1946"/>
    <n v="270"/>
    <n v="198350"/>
    <n v="7.5"/>
    <n v="11805"/>
  </r>
  <r>
    <x v="43"/>
    <x v="3"/>
    <n v="1957"/>
    <n v="490"/>
    <n v="435726"/>
    <n v="4.7300000000000004"/>
    <n v="15969"/>
  </r>
  <r>
    <x v="44"/>
    <x v="0"/>
    <n v="559"/>
    <n v="392"/>
    <n v="78789"/>
    <n v="3.19"/>
    <n v="2436"/>
  </r>
  <r>
    <x v="44"/>
    <x v="1"/>
    <n v="1307"/>
    <n v="278"/>
    <n v="98596"/>
    <n v="2.4900000000000002"/>
    <n v="47603"/>
  </r>
  <r>
    <x v="44"/>
    <x v="2"/>
    <n v="1432"/>
    <n v="425"/>
    <n v="29589"/>
    <n v="4.5"/>
    <n v="42964"/>
  </r>
  <r>
    <x v="44"/>
    <x v="3"/>
    <n v="623"/>
    <n v="414"/>
    <n v="290354"/>
    <n v="6.49"/>
    <n v="39923"/>
  </r>
  <r>
    <x v="45"/>
    <x v="0"/>
    <n v="198"/>
    <n v="358"/>
    <n v="66682"/>
    <n v="6.73"/>
    <n v="2293"/>
  </r>
  <r>
    <x v="45"/>
    <x v="1"/>
    <n v="198"/>
    <n v="373"/>
    <n v="70707"/>
    <n v="4.83"/>
    <n v="25920"/>
  </r>
  <r>
    <x v="45"/>
    <x v="2"/>
    <n v="353"/>
    <n v="300"/>
    <n v="142507"/>
    <n v="5.3"/>
    <n v="11035"/>
  </r>
  <r>
    <x v="45"/>
    <x v="3"/>
    <n v="520"/>
    <n v="375"/>
    <n v="369525"/>
    <n v="6.54"/>
    <n v="20733"/>
  </r>
  <r>
    <x v="46"/>
    <x v="0"/>
    <n v="961"/>
    <n v="358"/>
    <n v="62942"/>
    <n v="6.8"/>
    <n v="18693"/>
  </r>
  <r>
    <x v="46"/>
    <x v="1"/>
    <n v="1375"/>
    <n v="330"/>
    <n v="377382"/>
    <n v="2.6"/>
    <n v="7875"/>
  </r>
  <r>
    <x v="46"/>
    <x v="2"/>
    <n v="1147"/>
    <n v="388"/>
    <n v="333851"/>
    <n v="2.44"/>
    <n v="8471"/>
  </r>
  <r>
    <x v="46"/>
    <x v="3"/>
    <n v="1707"/>
    <n v="74"/>
    <n v="270958"/>
    <n v="3.09"/>
    <n v="14090"/>
  </r>
  <r>
    <x v="47"/>
    <x v="0"/>
    <n v="1693"/>
    <n v="154"/>
    <n v="445944"/>
    <n v="5.69"/>
    <n v="14216"/>
  </r>
  <r>
    <x v="47"/>
    <x v="1"/>
    <n v="833"/>
    <n v="380"/>
    <n v="224830"/>
    <n v="3.86"/>
    <n v="3582"/>
  </r>
  <r>
    <x v="47"/>
    <x v="2"/>
    <n v="1222"/>
    <n v="274"/>
    <n v="487289"/>
    <n v="3.16"/>
    <n v="32500"/>
  </r>
  <r>
    <x v="47"/>
    <x v="3"/>
    <n v="777"/>
    <n v="140"/>
    <n v="11435"/>
    <n v="1.6"/>
    <n v="6832"/>
  </r>
  <r>
    <x v="48"/>
    <x v="0"/>
    <n v="1957"/>
    <n v="76"/>
    <n v="447902"/>
    <n v="6.09"/>
    <n v="33381"/>
  </r>
  <r>
    <x v="48"/>
    <x v="1"/>
    <n v="405"/>
    <n v="66"/>
    <n v="418696"/>
    <n v="5.59"/>
    <n v="48419"/>
  </r>
  <r>
    <x v="48"/>
    <x v="2"/>
    <n v="1581"/>
    <n v="71"/>
    <n v="484364"/>
    <n v="3.55"/>
    <n v="16149"/>
  </r>
  <r>
    <x v="48"/>
    <x v="3"/>
    <n v="1035"/>
    <n v="171"/>
    <n v="148477"/>
    <n v="5.21"/>
    <n v="7541"/>
  </r>
  <r>
    <x v="49"/>
    <x v="0"/>
    <n v="1765"/>
    <n v="109"/>
    <n v="468301"/>
    <n v="1.82"/>
    <n v="20042"/>
  </r>
  <r>
    <x v="49"/>
    <x v="1"/>
    <n v="837"/>
    <n v="430"/>
    <n v="364820"/>
    <n v="4"/>
    <n v="49400"/>
  </r>
  <r>
    <x v="49"/>
    <x v="2"/>
    <n v="337"/>
    <n v="68"/>
    <n v="456298"/>
    <n v="7.57"/>
    <n v="4007"/>
  </r>
  <r>
    <x v="49"/>
    <x v="3"/>
    <n v="119"/>
    <n v="456"/>
    <n v="82558"/>
    <n v="6.81"/>
    <n v="12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6FD49-13EF-4B00-A3EA-3EB71D93FEB6}" name="PivotTable1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E54" firstHeaderRow="1" firstDataRow="2" firstDataCol="1"/>
  <pivotFields count="10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of Total_Followers" fld="4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B383E-E380-4EB5-8CB0-D65AAF36D1FF}" name="PivotTable4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0">
  <location ref="A3:B53" firstHeaderRow="1" firstDataRow="1" firstDataCol="1"/>
  <pivotFields count="10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Items count="1">
    <i/>
  </colItems>
  <dataFields count="1">
    <dataField name="Sum of Total_Follower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7421001-8708-494E-9864-518C37187500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28C23-6B82-48B5-BE70-EF6FC8B3D826}" name="Engagment_Summary" displayName="Engagment_Summary" ref="A1:G201" tableType="queryTable" totalsRowShown="0">
  <autoFilter ref="A1:G201" xr:uid="{31628C23-6B82-48B5-BE70-EF6FC8B3D826}"/>
  <tableColumns count="7">
    <tableColumn id="1" xr3:uid="{0090ACD1-85BC-4C5A-B544-1F5770C1C04C}" uniqueName="1" name="Week_Start_Date" queryTableFieldId="1" dataDxfId="2"/>
    <tableColumn id="2" xr3:uid="{698B0FF1-F8FA-4820-AFC3-1652CFA086E5}" uniqueName="2" name="Platform" queryTableFieldId="2" dataDxfId="1"/>
    <tableColumn id="3" xr3:uid="{D9304961-C9CC-4841-837C-F31EAA5A8606}" uniqueName="3" name="New_Followers" queryTableFieldId="3"/>
    <tableColumn id="4" xr3:uid="{33D2FA01-35F6-49EB-8641-006CC7C47152}" uniqueName="4" name="Unfollows" queryTableFieldId="4"/>
    <tableColumn id="5" xr3:uid="{C3A55292-EFA0-4A8A-A5AE-D565AE44C52B}" uniqueName="5" name="Total_Followers" queryTableFieldId="5"/>
    <tableColumn id="6" xr3:uid="{99DB1191-145F-4CE3-8D69-D4364A752AD9}" uniqueName="6" name="Engagement_Rate" queryTableFieldId="6"/>
    <tableColumn id="7" xr3:uid="{9A522227-7983-4B8D-8C30-632387AF76CD}" uniqueName="7" name="Ad_Spen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8C8B-D5DA-4520-ADD7-31D64E7C26D0}">
  <dimension ref="A1:G201"/>
  <sheetViews>
    <sheetView topLeftCell="A106" workbookViewId="0">
      <selection activeCell="A116" sqref="A116"/>
    </sheetView>
  </sheetViews>
  <sheetFormatPr defaultRowHeight="15" x14ac:dyDescent="0.25"/>
  <cols>
    <col min="1" max="1" width="18.85546875" bestFit="1" customWidth="1"/>
    <col min="2" max="2" width="11" bestFit="1" customWidth="1"/>
    <col min="3" max="3" width="17" bestFit="1" customWidth="1"/>
    <col min="4" max="4" width="12.28515625" bestFit="1" customWidth="1"/>
    <col min="5" max="5" width="17.42578125" bestFit="1" customWidth="1"/>
    <col min="6" max="6" width="19.7109375" bestFit="1" customWidth="1"/>
    <col min="7" max="7" width="1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45446</v>
      </c>
      <c r="B2" t="s">
        <v>7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 x14ac:dyDescent="0.25">
      <c r="A3" s="1">
        <v>45446</v>
      </c>
      <c r="B3" t="s">
        <v>8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 x14ac:dyDescent="0.25">
      <c r="A4" s="1">
        <v>45446</v>
      </c>
      <c r="B4" t="s">
        <v>9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 x14ac:dyDescent="0.25">
      <c r="A5" s="1">
        <v>45446</v>
      </c>
      <c r="B5" t="s">
        <v>10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 x14ac:dyDescent="0.25">
      <c r="A6" s="1">
        <v>45453</v>
      </c>
      <c r="B6" t="s">
        <v>7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 x14ac:dyDescent="0.25">
      <c r="A7" s="1">
        <v>45453</v>
      </c>
      <c r="B7" t="s">
        <v>8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 x14ac:dyDescent="0.25">
      <c r="A8" s="1">
        <v>45453</v>
      </c>
      <c r="B8" t="s">
        <v>9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 x14ac:dyDescent="0.25">
      <c r="A9" s="1">
        <v>45453</v>
      </c>
      <c r="B9" t="s">
        <v>10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 x14ac:dyDescent="0.25">
      <c r="A10" s="1">
        <v>45460</v>
      </c>
      <c r="B10" t="s">
        <v>7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 x14ac:dyDescent="0.25">
      <c r="A11" s="1">
        <v>45460</v>
      </c>
      <c r="B11" t="s">
        <v>8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 x14ac:dyDescent="0.25">
      <c r="A12" s="1">
        <v>45460</v>
      </c>
      <c r="B12" t="s">
        <v>9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 x14ac:dyDescent="0.25">
      <c r="A13" s="1">
        <v>45460</v>
      </c>
      <c r="B13" t="s">
        <v>10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 x14ac:dyDescent="0.25">
      <c r="A14" s="1">
        <v>45467</v>
      </c>
      <c r="B14" t="s">
        <v>7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 x14ac:dyDescent="0.25">
      <c r="A15" s="1">
        <v>45467</v>
      </c>
      <c r="B15" t="s">
        <v>8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 x14ac:dyDescent="0.25">
      <c r="A16" s="1">
        <v>45467</v>
      </c>
      <c r="B16" t="s">
        <v>9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 x14ac:dyDescent="0.25">
      <c r="A17" s="1">
        <v>45467</v>
      </c>
      <c r="B17" t="s">
        <v>10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 x14ac:dyDescent="0.25">
      <c r="A18" s="1">
        <v>45474</v>
      </c>
      <c r="B18" t="s">
        <v>7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 x14ac:dyDescent="0.25">
      <c r="A19" s="1">
        <v>45474</v>
      </c>
      <c r="B19" t="s">
        <v>8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 x14ac:dyDescent="0.25">
      <c r="A20" s="1">
        <v>45474</v>
      </c>
      <c r="B20" t="s">
        <v>9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 x14ac:dyDescent="0.25">
      <c r="A21" s="1">
        <v>45474</v>
      </c>
      <c r="B21" t="s">
        <v>10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 x14ac:dyDescent="0.25">
      <c r="A22" s="1">
        <v>45481</v>
      </c>
      <c r="B22" t="s">
        <v>7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 x14ac:dyDescent="0.25">
      <c r="A23" s="1">
        <v>45481</v>
      </c>
      <c r="B23" t="s">
        <v>8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 x14ac:dyDescent="0.25">
      <c r="A24" s="1">
        <v>45481</v>
      </c>
      <c r="B24" t="s">
        <v>9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 x14ac:dyDescent="0.25">
      <c r="A25" s="1">
        <v>45481</v>
      </c>
      <c r="B25" t="s">
        <v>10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 x14ac:dyDescent="0.25">
      <c r="A26" s="1">
        <v>45488</v>
      </c>
      <c r="B26" t="s">
        <v>7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 x14ac:dyDescent="0.25">
      <c r="A27" s="1">
        <v>45488</v>
      </c>
      <c r="B27" t="s">
        <v>8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 x14ac:dyDescent="0.25">
      <c r="A28" s="1">
        <v>45488</v>
      </c>
      <c r="B28" t="s">
        <v>9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 x14ac:dyDescent="0.25">
      <c r="A29" s="1">
        <v>45488</v>
      </c>
      <c r="B29" t="s">
        <v>10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 x14ac:dyDescent="0.25">
      <c r="A30" s="1">
        <v>45495</v>
      </c>
      <c r="B30" t="s">
        <v>7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 x14ac:dyDescent="0.25">
      <c r="A31" s="1">
        <v>45495</v>
      </c>
      <c r="B31" t="s">
        <v>8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 x14ac:dyDescent="0.25">
      <c r="A32" s="1">
        <v>45495</v>
      </c>
      <c r="B32" t="s">
        <v>9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 x14ac:dyDescent="0.25">
      <c r="A33" s="1">
        <v>45495</v>
      </c>
      <c r="B33" t="s">
        <v>10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 x14ac:dyDescent="0.25">
      <c r="A34" s="1">
        <v>45502</v>
      </c>
      <c r="B34" t="s">
        <v>7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 x14ac:dyDescent="0.25">
      <c r="A35" s="1">
        <v>45502</v>
      </c>
      <c r="B35" t="s">
        <v>8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 x14ac:dyDescent="0.25">
      <c r="A36" s="1">
        <v>45502</v>
      </c>
      <c r="B36" t="s">
        <v>9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 x14ac:dyDescent="0.25">
      <c r="A37" s="1">
        <v>45502</v>
      </c>
      <c r="B37" t="s">
        <v>10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 x14ac:dyDescent="0.25">
      <c r="A38" s="1">
        <v>45509</v>
      </c>
      <c r="B38" t="s">
        <v>7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 x14ac:dyDescent="0.25">
      <c r="A39" s="1">
        <v>45509</v>
      </c>
      <c r="B39" t="s">
        <v>8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 x14ac:dyDescent="0.25">
      <c r="A40" s="1">
        <v>45509</v>
      </c>
      <c r="B40" t="s">
        <v>9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 x14ac:dyDescent="0.25">
      <c r="A41" s="1">
        <v>45509</v>
      </c>
      <c r="B41" t="s">
        <v>10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 x14ac:dyDescent="0.25">
      <c r="A42" s="1">
        <v>45516</v>
      </c>
      <c r="B42" t="s">
        <v>7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 x14ac:dyDescent="0.25">
      <c r="A43" s="1">
        <v>45516</v>
      </c>
      <c r="B43" t="s">
        <v>8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 x14ac:dyDescent="0.25">
      <c r="A44" s="1">
        <v>45516</v>
      </c>
      <c r="B44" t="s">
        <v>9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 x14ac:dyDescent="0.25">
      <c r="A45" s="1">
        <v>45516</v>
      </c>
      <c r="B45" t="s">
        <v>10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 x14ac:dyDescent="0.25">
      <c r="A46" s="1">
        <v>45523</v>
      </c>
      <c r="B46" t="s">
        <v>7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 x14ac:dyDescent="0.25">
      <c r="A47" s="1">
        <v>45523</v>
      </c>
      <c r="B47" t="s">
        <v>8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 x14ac:dyDescent="0.25">
      <c r="A48" s="1">
        <v>45523</v>
      </c>
      <c r="B48" t="s">
        <v>9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 x14ac:dyDescent="0.25">
      <c r="A49" s="1">
        <v>45523</v>
      </c>
      <c r="B49" t="s">
        <v>10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 x14ac:dyDescent="0.25">
      <c r="A50" s="1">
        <v>45530</v>
      </c>
      <c r="B50" t="s">
        <v>7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 x14ac:dyDescent="0.25">
      <c r="A51" s="1">
        <v>45530</v>
      </c>
      <c r="B51" t="s">
        <v>8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 x14ac:dyDescent="0.25">
      <c r="A52" s="1">
        <v>45530</v>
      </c>
      <c r="B52" t="s">
        <v>9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 x14ac:dyDescent="0.25">
      <c r="A53" s="1">
        <v>45530</v>
      </c>
      <c r="B53" t="s">
        <v>10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 x14ac:dyDescent="0.25">
      <c r="A54" s="1">
        <v>45537</v>
      </c>
      <c r="B54" t="s">
        <v>7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 x14ac:dyDescent="0.25">
      <c r="A55" s="1">
        <v>45537</v>
      </c>
      <c r="B55" t="s">
        <v>8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 x14ac:dyDescent="0.25">
      <c r="A56" s="1">
        <v>45537</v>
      </c>
      <c r="B56" t="s">
        <v>9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 x14ac:dyDescent="0.25">
      <c r="A57" s="1">
        <v>45537</v>
      </c>
      <c r="B57" t="s">
        <v>10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 x14ac:dyDescent="0.25">
      <c r="A58" s="1">
        <v>45544</v>
      </c>
      <c r="B58" t="s">
        <v>7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 x14ac:dyDescent="0.25">
      <c r="A59" s="1">
        <v>45544</v>
      </c>
      <c r="B59" t="s">
        <v>8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 x14ac:dyDescent="0.25">
      <c r="A60" s="1">
        <v>45544</v>
      </c>
      <c r="B60" t="s">
        <v>9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 x14ac:dyDescent="0.25">
      <c r="A61" s="1">
        <v>45544</v>
      </c>
      <c r="B61" t="s">
        <v>10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 x14ac:dyDescent="0.25">
      <c r="A62" s="1">
        <v>45551</v>
      </c>
      <c r="B62" t="s">
        <v>7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 x14ac:dyDescent="0.25">
      <c r="A63" s="1">
        <v>45551</v>
      </c>
      <c r="B63" t="s">
        <v>8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 x14ac:dyDescent="0.25">
      <c r="A64" s="1">
        <v>45551</v>
      </c>
      <c r="B64" t="s">
        <v>9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 x14ac:dyDescent="0.25">
      <c r="A65" s="1">
        <v>45551</v>
      </c>
      <c r="B65" t="s">
        <v>10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 x14ac:dyDescent="0.25">
      <c r="A66" s="1">
        <v>45558</v>
      </c>
      <c r="B66" t="s">
        <v>7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 x14ac:dyDescent="0.25">
      <c r="A67" s="1">
        <v>45558</v>
      </c>
      <c r="B67" t="s">
        <v>8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 x14ac:dyDescent="0.25">
      <c r="A68" s="1">
        <v>45558</v>
      </c>
      <c r="B68" t="s">
        <v>9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 x14ac:dyDescent="0.25">
      <c r="A69" s="1">
        <v>45558</v>
      </c>
      <c r="B69" t="s">
        <v>10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 x14ac:dyDescent="0.25">
      <c r="A70" s="1">
        <v>45565</v>
      </c>
      <c r="B70" t="s">
        <v>7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 x14ac:dyDescent="0.25">
      <c r="A71" s="1">
        <v>45565</v>
      </c>
      <c r="B71" t="s">
        <v>8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 x14ac:dyDescent="0.25">
      <c r="A72" s="1">
        <v>45565</v>
      </c>
      <c r="B72" t="s">
        <v>9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 x14ac:dyDescent="0.25">
      <c r="A73" s="1">
        <v>45565</v>
      </c>
      <c r="B73" t="s">
        <v>10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 x14ac:dyDescent="0.25">
      <c r="A74" s="1">
        <v>45572</v>
      </c>
      <c r="B74" t="s">
        <v>7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 x14ac:dyDescent="0.25">
      <c r="A75" s="1">
        <v>45572</v>
      </c>
      <c r="B75" t="s">
        <v>8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 x14ac:dyDescent="0.25">
      <c r="A76" s="1">
        <v>45572</v>
      </c>
      <c r="B76" t="s">
        <v>9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 x14ac:dyDescent="0.25">
      <c r="A77" s="1">
        <v>45572</v>
      </c>
      <c r="B77" t="s">
        <v>10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 x14ac:dyDescent="0.25">
      <c r="A78" s="1">
        <v>45579</v>
      </c>
      <c r="B78" t="s">
        <v>7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 x14ac:dyDescent="0.25">
      <c r="A79" s="1">
        <v>45579</v>
      </c>
      <c r="B79" t="s">
        <v>8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 x14ac:dyDescent="0.25">
      <c r="A80" s="1">
        <v>45579</v>
      </c>
      <c r="B80" t="s">
        <v>9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 x14ac:dyDescent="0.25">
      <c r="A81" s="1">
        <v>45579</v>
      </c>
      <c r="B81" t="s">
        <v>10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 x14ac:dyDescent="0.25">
      <c r="A82" s="1">
        <v>45586</v>
      </c>
      <c r="B82" t="s">
        <v>7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 x14ac:dyDescent="0.25">
      <c r="A83" s="1">
        <v>45586</v>
      </c>
      <c r="B83" t="s">
        <v>8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 x14ac:dyDescent="0.25">
      <c r="A84" s="1">
        <v>45586</v>
      </c>
      <c r="B84" t="s">
        <v>9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 x14ac:dyDescent="0.25">
      <c r="A85" s="1">
        <v>45586</v>
      </c>
      <c r="B85" t="s">
        <v>10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 x14ac:dyDescent="0.25">
      <c r="A86" s="1">
        <v>45593</v>
      </c>
      <c r="B86" t="s">
        <v>7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 x14ac:dyDescent="0.25">
      <c r="A87" s="1">
        <v>45593</v>
      </c>
      <c r="B87" t="s">
        <v>8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 x14ac:dyDescent="0.25">
      <c r="A88" s="1">
        <v>45593</v>
      </c>
      <c r="B88" t="s">
        <v>9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 x14ac:dyDescent="0.25">
      <c r="A89" s="1">
        <v>45593</v>
      </c>
      <c r="B89" t="s">
        <v>10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 x14ac:dyDescent="0.25">
      <c r="A90" s="1">
        <v>45600</v>
      </c>
      <c r="B90" t="s">
        <v>7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 x14ac:dyDescent="0.25">
      <c r="A91" s="1">
        <v>45600</v>
      </c>
      <c r="B91" t="s">
        <v>8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 x14ac:dyDescent="0.25">
      <c r="A92" s="1">
        <v>45600</v>
      </c>
      <c r="B92" t="s">
        <v>9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 x14ac:dyDescent="0.25">
      <c r="A93" s="1">
        <v>45600</v>
      </c>
      <c r="B93" t="s">
        <v>10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 x14ac:dyDescent="0.25">
      <c r="A94" s="1">
        <v>45607</v>
      </c>
      <c r="B94" t="s">
        <v>7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 x14ac:dyDescent="0.25">
      <c r="A95" s="1">
        <v>45607</v>
      </c>
      <c r="B95" t="s">
        <v>8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 x14ac:dyDescent="0.25">
      <c r="A96" s="1">
        <v>45607</v>
      </c>
      <c r="B96" t="s">
        <v>9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 x14ac:dyDescent="0.25">
      <c r="A97" s="1">
        <v>45607</v>
      </c>
      <c r="B97" t="s">
        <v>10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 x14ac:dyDescent="0.25">
      <c r="A98" s="1">
        <v>45614</v>
      </c>
      <c r="B98" t="s">
        <v>7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 x14ac:dyDescent="0.25">
      <c r="A99" s="1">
        <v>45614</v>
      </c>
      <c r="B99" t="s">
        <v>8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 x14ac:dyDescent="0.25">
      <c r="A100" s="1">
        <v>45614</v>
      </c>
      <c r="B100" t="s">
        <v>9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 x14ac:dyDescent="0.25">
      <c r="A101" s="1">
        <v>45614</v>
      </c>
      <c r="B101" t="s">
        <v>10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 x14ac:dyDescent="0.25">
      <c r="A102" s="1">
        <v>45621</v>
      </c>
      <c r="B102" t="s">
        <v>7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 x14ac:dyDescent="0.25">
      <c r="A103" s="1">
        <v>45621</v>
      </c>
      <c r="B103" t="s">
        <v>8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 x14ac:dyDescent="0.25">
      <c r="A104" s="1">
        <v>45621</v>
      </c>
      <c r="B104" t="s">
        <v>9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 x14ac:dyDescent="0.25">
      <c r="A105" s="1">
        <v>45621</v>
      </c>
      <c r="B105" t="s">
        <v>10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 x14ac:dyDescent="0.25">
      <c r="A106" s="1">
        <v>45628</v>
      </c>
      <c r="B106" t="s">
        <v>7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 x14ac:dyDescent="0.25">
      <c r="A107" s="1">
        <v>45628</v>
      </c>
      <c r="B107" t="s">
        <v>8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 x14ac:dyDescent="0.25">
      <c r="A108" s="1">
        <v>45628</v>
      </c>
      <c r="B108" t="s">
        <v>9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 x14ac:dyDescent="0.25">
      <c r="A109" s="1">
        <v>45628</v>
      </c>
      <c r="B109" t="s">
        <v>10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 x14ac:dyDescent="0.25">
      <c r="A110" s="1">
        <v>45635</v>
      </c>
      <c r="B110" t="s">
        <v>7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 x14ac:dyDescent="0.25">
      <c r="A111" s="1">
        <v>45635</v>
      </c>
      <c r="B111" t="s">
        <v>8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 x14ac:dyDescent="0.25">
      <c r="A112" s="1">
        <v>45635</v>
      </c>
      <c r="B112" t="s">
        <v>9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 x14ac:dyDescent="0.25">
      <c r="A113" s="1">
        <v>45635</v>
      </c>
      <c r="B113" t="s">
        <v>10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 x14ac:dyDescent="0.25">
      <c r="A114" s="1">
        <v>45642</v>
      </c>
      <c r="B114" t="s">
        <v>7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 x14ac:dyDescent="0.25">
      <c r="A115" s="1">
        <v>45642</v>
      </c>
      <c r="B115" t="s">
        <v>8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 x14ac:dyDescent="0.25">
      <c r="A116" s="1">
        <v>45642</v>
      </c>
      <c r="B116" t="s">
        <v>9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 x14ac:dyDescent="0.25">
      <c r="A117" s="1">
        <v>45642</v>
      </c>
      <c r="B117" t="s">
        <v>10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 x14ac:dyDescent="0.25">
      <c r="A118" s="1">
        <v>45649</v>
      </c>
      <c r="B118" t="s">
        <v>7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 x14ac:dyDescent="0.25">
      <c r="A119" s="1">
        <v>45649</v>
      </c>
      <c r="B119" t="s">
        <v>8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 x14ac:dyDescent="0.25">
      <c r="A120" s="1">
        <v>45649</v>
      </c>
      <c r="B120" t="s">
        <v>9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 x14ac:dyDescent="0.25">
      <c r="A121" s="1">
        <v>45649</v>
      </c>
      <c r="B121" t="s">
        <v>10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 x14ac:dyDescent="0.25">
      <c r="A122" s="1">
        <v>45656</v>
      </c>
      <c r="B122" t="s">
        <v>7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 x14ac:dyDescent="0.25">
      <c r="A123" s="1">
        <v>45656</v>
      </c>
      <c r="B123" t="s">
        <v>8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 x14ac:dyDescent="0.25">
      <c r="A124" s="1">
        <v>45656</v>
      </c>
      <c r="B124" t="s">
        <v>9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 x14ac:dyDescent="0.25">
      <c r="A125" s="1">
        <v>45656</v>
      </c>
      <c r="B125" t="s">
        <v>10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 x14ac:dyDescent="0.25">
      <c r="A126" s="1">
        <v>45663</v>
      </c>
      <c r="B126" t="s">
        <v>7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 x14ac:dyDescent="0.25">
      <c r="A127" s="1">
        <v>45663</v>
      </c>
      <c r="B127" t="s">
        <v>8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 x14ac:dyDescent="0.25">
      <c r="A128" s="1">
        <v>45663</v>
      </c>
      <c r="B128" t="s">
        <v>9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 x14ac:dyDescent="0.25">
      <c r="A129" s="1">
        <v>45663</v>
      </c>
      <c r="B129" t="s">
        <v>10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 x14ac:dyDescent="0.25">
      <c r="A130" s="1">
        <v>45670</v>
      </c>
      <c r="B130" t="s">
        <v>7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 x14ac:dyDescent="0.25">
      <c r="A131" s="1">
        <v>45670</v>
      </c>
      <c r="B131" t="s">
        <v>8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 x14ac:dyDescent="0.25">
      <c r="A132" s="1">
        <v>45670</v>
      </c>
      <c r="B132" t="s">
        <v>9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 x14ac:dyDescent="0.25">
      <c r="A133" s="1">
        <v>45670</v>
      </c>
      <c r="B133" t="s">
        <v>10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 x14ac:dyDescent="0.25">
      <c r="A134" s="1">
        <v>45677</v>
      </c>
      <c r="B134" t="s">
        <v>7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 x14ac:dyDescent="0.25">
      <c r="A135" s="1">
        <v>45677</v>
      </c>
      <c r="B135" t="s">
        <v>8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 x14ac:dyDescent="0.25">
      <c r="A136" s="1">
        <v>45677</v>
      </c>
      <c r="B136" t="s">
        <v>9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 x14ac:dyDescent="0.25">
      <c r="A137" s="1">
        <v>45677</v>
      </c>
      <c r="B137" t="s">
        <v>10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 x14ac:dyDescent="0.25">
      <c r="A138" s="1">
        <v>45684</v>
      </c>
      <c r="B138" t="s">
        <v>7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 x14ac:dyDescent="0.25">
      <c r="A139" s="1">
        <v>45684</v>
      </c>
      <c r="B139" t="s">
        <v>8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 x14ac:dyDescent="0.25">
      <c r="A140" s="1">
        <v>45684</v>
      </c>
      <c r="B140" t="s">
        <v>9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 x14ac:dyDescent="0.25">
      <c r="A141" s="1">
        <v>45684</v>
      </c>
      <c r="B141" t="s">
        <v>10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 x14ac:dyDescent="0.25">
      <c r="A142" s="1">
        <v>45691</v>
      </c>
      <c r="B142" t="s">
        <v>7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 x14ac:dyDescent="0.25">
      <c r="A143" s="1">
        <v>45691</v>
      </c>
      <c r="B143" t="s">
        <v>8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 x14ac:dyDescent="0.25">
      <c r="A144" s="1">
        <v>45691</v>
      </c>
      <c r="B144" t="s">
        <v>9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 x14ac:dyDescent="0.25">
      <c r="A145" s="1">
        <v>45691</v>
      </c>
      <c r="B145" t="s">
        <v>10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 x14ac:dyDescent="0.25">
      <c r="A146" s="1">
        <v>45698</v>
      </c>
      <c r="B146" t="s">
        <v>7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 x14ac:dyDescent="0.25">
      <c r="A147" s="1">
        <v>45698</v>
      </c>
      <c r="B147" t="s">
        <v>8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 x14ac:dyDescent="0.25">
      <c r="A148" s="1">
        <v>45698</v>
      </c>
      <c r="B148" t="s">
        <v>9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 x14ac:dyDescent="0.25">
      <c r="A149" s="1">
        <v>45698</v>
      </c>
      <c r="B149" t="s">
        <v>10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 x14ac:dyDescent="0.25">
      <c r="A150" s="1">
        <v>45705</v>
      </c>
      <c r="B150" t="s">
        <v>7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 x14ac:dyDescent="0.25">
      <c r="A151" s="1">
        <v>45705</v>
      </c>
      <c r="B151" t="s">
        <v>8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 x14ac:dyDescent="0.25">
      <c r="A152" s="1">
        <v>45705</v>
      </c>
      <c r="B152" t="s">
        <v>9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 x14ac:dyDescent="0.25">
      <c r="A153" s="1">
        <v>45705</v>
      </c>
      <c r="B153" t="s">
        <v>10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 x14ac:dyDescent="0.25">
      <c r="A154" s="1">
        <v>45712</v>
      </c>
      <c r="B154" t="s">
        <v>7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 x14ac:dyDescent="0.25">
      <c r="A155" s="1">
        <v>45712</v>
      </c>
      <c r="B155" t="s">
        <v>8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 x14ac:dyDescent="0.25">
      <c r="A156" s="1">
        <v>45712</v>
      </c>
      <c r="B156" t="s">
        <v>9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 x14ac:dyDescent="0.25">
      <c r="A157" s="1">
        <v>45712</v>
      </c>
      <c r="B157" t="s">
        <v>10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 x14ac:dyDescent="0.25">
      <c r="A158" s="1">
        <v>45719</v>
      </c>
      <c r="B158" t="s">
        <v>7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 x14ac:dyDescent="0.25">
      <c r="A159" s="1">
        <v>45719</v>
      </c>
      <c r="B159" t="s">
        <v>8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 x14ac:dyDescent="0.25">
      <c r="A160" s="1">
        <v>45719</v>
      </c>
      <c r="B160" t="s">
        <v>9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 x14ac:dyDescent="0.25">
      <c r="A161" s="1">
        <v>45719</v>
      </c>
      <c r="B161" t="s">
        <v>10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 x14ac:dyDescent="0.25">
      <c r="A162" s="1">
        <v>45726</v>
      </c>
      <c r="B162" t="s">
        <v>7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 x14ac:dyDescent="0.25">
      <c r="A163" s="1">
        <v>45726</v>
      </c>
      <c r="B163" t="s">
        <v>8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 x14ac:dyDescent="0.25">
      <c r="A164" s="1">
        <v>45726</v>
      </c>
      <c r="B164" t="s">
        <v>9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 x14ac:dyDescent="0.25">
      <c r="A165" s="1">
        <v>45726</v>
      </c>
      <c r="B165" t="s">
        <v>10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 x14ac:dyDescent="0.25">
      <c r="A166" s="1">
        <v>45733</v>
      </c>
      <c r="B166" t="s">
        <v>7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 x14ac:dyDescent="0.25">
      <c r="A167" s="1">
        <v>45733</v>
      </c>
      <c r="B167" t="s">
        <v>8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 x14ac:dyDescent="0.25">
      <c r="A168" s="1">
        <v>45733</v>
      </c>
      <c r="B168" t="s">
        <v>9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 x14ac:dyDescent="0.25">
      <c r="A169" s="1">
        <v>45733</v>
      </c>
      <c r="B169" t="s">
        <v>10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 x14ac:dyDescent="0.25">
      <c r="A170" s="1">
        <v>45740</v>
      </c>
      <c r="B170" t="s">
        <v>7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 x14ac:dyDescent="0.25">
      <c r="A171" s="1">
        <v>45740</v>
      </c>
      <c r="B171" t="s">
        <v>8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 x14ac:dyDescent="0.25">
      <c r="A172" s="1">
        <v>45740</v>
      </c>
      <c r="B172" t="s">
        <v>9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 x14ac:dyDescent="0.25">
      <c r="A173" s="1">
        <v>45740</v>
      </c>
      <c r="B173" t="s">
        <v>10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 x14ac:dyDescent="0.25">
      <c r="A174" s="1">
        <v>45747</v>
      </c>
      <c r="B174" t="s">
        <v>7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 x14ac:dyDescent="0.25">
      <c r="A175" s="1">
        <v>45747</v>
      </c>
      <c r="B175" t="s">
        <v>8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 x14ac:dyDescent="0.25">
      <c r="A176" s="1">
        <v>45747</v>
      </c>
      <c r="B176" t="s">
        <v>9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 x14ac:dyDescent="0.25">
      <c r="A177" s="1">
        <v>45747</v>
      </c>
      <c r="B177" t="s">
        <v>10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 x14ac:dyDescent="0.25">
      <c r="A178" s="1">
        <v>45754</v>
      </c>
      <c r="B178" t="s">
        <v>7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 x14ac:dyDescent="0.25">
      <c r="A179" s="1">
        <v>45754</v>
      </c>
      <c r="B179" t="s">
        <v>8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 x14ac:dyDescent="0.25">
      <c r="A180" s="1">
        <v>45754</v>
      </c>
      <c r="B180" t="s">
        <v>9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 x14ac:dyDescent="0.25">
      <c r="A181" s="1">
        <v>45754</v>
      </c>
      <c r="B181" t="s">
        <v>10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 x14ac:dyDescent="0.25">
      <c r="A182" s="1">
        <v>45761</v>
      </c>
      <c r="B182" t="s">
        <v>7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 x14ac:dyDescent="0.25">
      <c r="A183" s="1">
        <v>45761</v>
      </c>
      <c r="B183" t="s">
        <v>8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 x14ac:dyDescent="0.25">
      <c r="A184" s="1">
        <v>45761</v>
      </c>
      <c r="B184" t="s">
        <v>9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 x14ac:dyDescent="0.25">
      <c r="A185" s="1">
        <v>45761</v>
      </c>
      <c r="B185" t="s">
        <v>10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 x14ac:dyDescent="0.25">
      <c r="A186" s="1">
        <v>45768</v>
      </c>
      <c r="B186" t="s">
        <v>7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 x14ac:dyDescent="0.25">
      <c r="A187" s="1">
        <v>45768</v>
      </c>
      <c r="B187" t="s">
        <v>8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 x14ac:dyDescent="0.25">
      <c r="A188" s="1">
        <v>45768</v>
      </c>
      <c r="B188" t="s">
        <v>9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 x14ac:dyDescent="0.25">
      <c r="A189" s="1">
        <v>45768</v>
      </c>
      <c r="B189" t="s">
        <v>10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 x14ac:dyDescent="0.25">
      <c r="A190" s="1">
        <v>45775</v>
      </c>
      <c r="B190" t="s">
        <v>7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 x14ac:dyDescent="0.25">
      <c r="A191" s="1">
        <v>45775</v>
      </c>
      <c r="B191" t="s">
        <v>8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 x14ac:dyDescent="0.25">
      <c r="A192" s="1">
        <v>45775</v>
      </c>
      <c r="B192" t="s">
        <v>9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 x14ac:dyDescent="0.25">
      <c r="A193" s="1">
        <v>45775</v>
      </c>
      <c r="B193" t="s">
        <v>10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 x14ac:dyDescent="0.25">
      <c r="A194" s="1">
        <v>45782</v>
      </c>
      <c r="B194" t="s">
        <v>7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 x14ac:dyDescent="0.25">
      <c r="A195" s="1">
        <v>45782</v>
      </c>
      <c r="B195" t="s">
        <v>8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 x14ac:dyDescent="0.25">
      <c r="A196" s="1">
        <v>45782</v>
      </c>
      <c r="B196" t="s">
        <v>9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 x14ac:dyDescent="0.25">
      <c r="A197" s="1">
        <v>45782</v>
      </c>
      <c r="B197" t="s">
        <v>10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 x14ac:dyDescent="0.25">
      <c r="A198" s="1">
        <v>45789</v>
      </c>
      <c r="B198" t="s">
        <v>7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 x14ac:dyDescent="0.25">
      <c r="A199" s="1">
        <v>45789</v>
      </c>
      <c r="B199" t="s">
        <v>8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25">
      <c r="A200" s="1">
        <v>45789</v>
      </c>
      <c r="B200" t="s">
        <v>9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 x14ac:dyDescent="0.25">
      <c r="A201" s="1">
        <v>45789</v>
      </c>
      <c r="B201" t="s">
        <v>10</v>
      </c>
      <c r="C201">
        <v>119</v>
      </c>
      <c r="D201">
        <v>456</v>
      </c>
      <c r="E201">
        <v>82558</v>
      </c>
      <c r="F201">
        <v>6.81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57138-354F-4854-A368-57A1D600A566}">
  <dimension ref="A3:E54"/>
  <sheetViews>
    <sheetView workbookViewId="0">
      <selection activeCell="F2" sqref="F2"/>
    </sheetView>
  </sheetViews>
  <sheetFormatPr defaultRowHeight="15" x14ac:dyDescent="0.25"/>
  <cols>
    <col min="1" max="1" width="22.140625" bestFit="1" customWidth="1"/>
    <col min="2" max="2" width="16.85546875" bestFit="1" customWidth="1"/>
    <col min="3" max="3" width="9.85546875" bestFit="1" customWidth="1"/>
    <col min="4" max="4" width="7.28515625" bestFit="1" customWidth="1"/>
    <col min="5" max="5" width="8.85546875" bestFit="1" customWidth="1"/>
  </cols>
  <sheetData>
    <row r="3" spans="1:5" x14ac:dyDescent="0.25">
      <c r="A3" s="2" t="s">
        <v>13</v>
      </c>
      <c r="B3" s="2" t="s">
        <v>12</v>
      </c>
    </row>
    <row r="4" spans="1:5" x14ac:dyDescent="0.25">
      <c r="A4" s="2" t="s">
        <v>11</v>
      </c>
      <c r="B4" t="s">
        <v>8</v>
      </c>
      <c r="C4" t="s">
        <v>7</v>
      </c>
      <c r="D4" t="s">
        <v>9</v>
      </c>
      <c r="E4" t="s">
        <v>10</v>
      </c>
    </row>
    <row r="5" spans="1:5" x14ac:dyDescent="0.25">
      <c r="A5" s="3">
        <v>45446</v>
      </c>
      <c r="B5">
        <v>42654</v>
      </c>
      <c r="C5">
        <v>344084</v>
      </c>
      <c r="D5">
        <v>146834</v>
      </c>
      <c r="E5">
        <v>395536</v>
      </c>
    </row>
    <row r="6" spans="1:5" x14ac:dyDescent="0.25">
      <c r="A6" s="3">
        <v>45453</v>
      </c>
      <c r="B6">
        <v>316555</v>
      </c>
      <c r="C6">
        <v>49157</v>
      </c>
      <c r="D6">
        <v>254347</v>
      </c>
      <c r="E6">
        <v>413878</v>
      </c>
    </row>
    <row r="7" spans="1:5" x14ac:dyDescent="0.25">
      <c r="A7" s="3">
        <v>45460</v>
      </c>
      <c r="B7">
        <v>169496</v>
      </c>
      <c r="C7">
        <v>456946</v>
      </c>
      <c r="D7">
        <v>122732</v>
      </c>
      <c r="E7">
        <v>382851</v>
      </c>
    </row>
    <row r="8" spans="1:5" x14ac:dyDescent="0.25">
      <c r="A8" s="3">
        <v>45467</v>
      </c>
      <c r="B8">
        <v>26295</v>
      </c>
      <c r="C8">
        <v>35664</v>
      </c>
      <c r="D8">
        <v>298421</v>
      </c>
      <c r="E8">
        <v>426184</v>
      </c>
    </row>
    <row r="9" spans="1:5" x14ac:dyDescent="0.25">
      <c r="A9" s="3">
        <v>45474</v>
      </c>
      <c r="B9">
        <v>220020</v>
      </c>
      <c r="C9">
        <v>419447</v>
      </c>
      <c r="D9">
        <v>315305</v>
      </c>
      <c r="E9">
        <v>113678</v>
      </c>
    </row>
    <row r="10" spans="1:5" x14ac:dyDescent="0.25">
      <c r="A10" s="3">
        <v>45481</v>
      </c>
      <c r="B10">
        <v>251694</v>
      </c>
      <c r="C10">
        <v>58223</v>
      </c>
      <c r="D10">
        <v>389810</v>
      </c>
      <c r="E10">
        <v>233694</v>
      </c>
    </row>
    <row r="11" spans="1:5" x14ac:dyDescent="0.25">
      <c r="A11" s="3">
        <v>45488</v>
      </c>
      <c r="B11">
        <v>334626</v>
      </c>
      <c r="C11">
        <v>154169</v>
      </c>
      <c r="D11">
        <v>226002</v>
      </c>
      <c r="E11">
        <v>156683</v>
      </c>
    </row>
    <row r="12" spans="1:5" x14ac:dyDescent="0.25">
      <c r="A12" s="3">
        <v>45495</v>
      </c>
      <c r="B12">
        <v>295032</v>
      </c>
      <c r="C12">
        <v>473812</v>
      </c>
      <c r="D12">
        <v>198278</v>
      </c>
      <c r="E12">
        <v>306564</v>
      </c>
    </row>
    <row r="13" spans="1:5" x14ac:dyDescent="0.25">
      <c r="A13" s="3">
        <v>45502</v>
      </c>
      <c r="B13">
        <v>435034</v>
      </c>
      <c r="C13">
        <v>23664</v>
      </c>
      <c r="D13">
        <v>287574</v>
      </c>
      <c r="E13">
        <v>62499</v>
      </c>
    </row>
    <row r="14" spans="1:5" x14ac:dyDescent="0.25">
      <c r="A14" s="3">
        <v>45509</v>
      </c>
      <c r="B14">
        <v>125034</v>
      </c>
      <c r="C14">
        <v>437968</v>
      </c>
      <c r="D14">
        <v>449994</v>
      </c>
      <c r="E14">
        <v>320650</v>
      </c>
    </row>
    <row r="15" spans="1:5" x14ac:dyDescent="0.25">
      <c r="A15" s="3">
        <v>45516</v>
      </c>
      <c r="B15">
        <v>307612</v>
      </c>
      <c r="C15">
        <v>489188</v>
      </c>
      <c r="D15">
        <v>434883</v>
      </c>
      <c r="E15">
        <v>102042</v>
      </c>
    </row>
    <row r="16" spans="1:5" x14ac:dyDescent="0.25">
      <c r="A16" s="3">
        <v>45523</v>
      </c>
      <c r="B16">
        <v>183924</v>
      </c>
      <c r="C16">
        <v>325444</v>
      </c>
      <c r="D16">
        <v>188655</v>
      </c>
      <c r="E16">
        <v>87443</v>
      </c>
    </row>
    <row r="17" spans="1:5" x14ac:dyDescent="0.25">
      <c r="A17" s="3">
        <v>45530</v>
      </c>
      <c r="B17">
        <v>379380</v>
      </c>
      <c r="C17">
        <v>453799</v>
      </c>
      <c r="D17">
        <v>186454</v>
      </c>
      <c r="E17">
        <v>239044</v>
      </c>
    </row>
    <row r="18" spans="1:5" x14ac:dyDescent="0.25">
      <c r="A18" s="3">
        <v>45537</v>
      </c>
      <c r="B18">
        <v>496982</v>
      </c>
      <c r="C18">
        <v>101332</v>
      </c>
      <c r="D18">
        <v>318779</v>
      </c>
      <c r="E18">
        <v>370971</v>
      </c>
    </row>
    <row r="19" spans="1:5" x14ac:dyDescent="0.25">
      <c r="A19" s="3">
        <v>45544</v>
      </c>
      <c r="B19">
        <v>307524</v>
      </c>
      <c r="C19">
        <v>378054</v>
      </c>
      <c r="D19">
        <v>434047</v>
      </c>
      <c r="E19">
        <v>64583</v>
      </c>
    </row>
    <row r="20" spans="1:5" x14ac:dyDescent="0.25">
      <c r="A20" s="3">
        <v>45551</v>
      </c>
      <c r="B20">
        <v>474162</v>
      </c>
      <c r="C20">
        <v>50793</v>
      </c>
      <c r="D20">
        <v>392355</v>
      </c>
      <c r="E20">
        <v>119934</v>
      </c>
    </row>
    <row r="21" spans="1:5" x14ac:dyDescent="0.25">
      <c r="A21" s="3">
        <v>45558</v>
      </c>
      <c r="B21">
        <v>239753</v>
      </c>
      <c r="C21">
        <v>422625</v>
      </c>
      <c r="D21">
        <v>268516</v>
      </c>
      <c r="E21">
        <v>63177</v>
      </c>
    </row>
    <row r="22" spans="1:5" x14ac:dyDescent="0.25">
      <c r="A22" s="3">
        <v>45565</v>
      </c>
      <c r="B22">
        <v>453423</v>
      </c>
      <c r="C22">
        <v>370269</v>
      </c>
      <c r="D22">
        <v>64906</v>
      </c>
      <c r="E22">
        <v>94360</v>
      </c>
    </row>
    <row r="23" spans="1:5" x14ac:dyDescent="0.25">
      <c r="A23" s="3">
        <v>45572</v>
      </c>
      <c r="B23">
        <v>379363</v>
      </c>
      <c r="C23">
        <v>187183</v>
      </c>
      <c r="D23">
        <v>476486</v>
      </c>
      <c r="E23">
        <v>117767</v>
      </c>
    </row>
    <row r="24" spans="1:5" x14ac:dyDescent="0.25">
      <c r="A24" s="3">
        <v>45579</v>
      </c>
      <c r="B24">
        <v>157599</v>
      </c>
      <c r="C24">
        <v>388555</v>
      </c>
      <c r="D24">
        <v>309772</v>
      </c>
      <c r="E24">
        <v>199178</v>
      </c>
    </row>
    <row r="25" spans="1:5" x14ac:dyDescent="0.25">
      <c r="A25" s="3">
        <v>45586</v>
      </c>
      <c r="B25">
        <v>23492</v>
      </c>
      <c r="C25">
        <v>357089</v>
      </c>
      <c r="D25">
        <v>258287</v>
      </c>
      <c r="E25">
        <v>256910</v>
      </c>
    </row>
    <row r="26" spans="1:5" x14ac:dyDescent="0.25">
      <c r="A26" s="3">
        <v>45593</v>
      </c>
      <c r="B26">
        <v>209987</v>
      </c>
      <c r="C26">
        <v>346522</v>
      </c>
      <c r="D26">
        <v>240550</v>
      </c>
      <c r="E26">
        <v>305827</v>
      </c>
    </row>
    <row r="27" spans="1:5" x14ac:dyDescent="0.25">
      <c r="A27" s="3">
        <v>45600</v>
      </c>
      <c r="B27">
        <v>319186</v>
      </c>
      <c r="C27">
        <v>54935</v>
      </c>
      <c r="D27">
        <v>439080</v>
      </c>
      <c r="E27">
        <v>258944</v>
      </c>
    </row>
    <row r="28" spans="1:5" x14ac:dyDescent="0.25">
      <c r="A28" s="3">
        <v>45607</v>
      </c>
      <c r="B28">
        <v>309483</v>
      </c>
      <c r="C28">
        <v>51395</v>
      </c>
      <c r="D28">
        <v>87305</v>
      </c>
      <c r="E28">
        <v>121091</v>
      </c>
    </row>
    <row r="29" spans="1:5" x14ac:dyDescent="0.25">
      <c r="A29" s="3">
        <v>45614</v>
      </c>
      <c r="B29">
        <v>338847</v>
      </c>
      <c r="C29">
        <v>51087</v>
      </c>
      <c r="D29">
        <v>487523</v>
      </c>
      <c r="E29">
        <v>301695</v>
      </c>
    </row>
    <row r="30" spans="1:5" x14ac:dyDescent="0.25">
      <c r="A30" s="3">
        <v>45621</v>
      </c>
      <c r="B30">
        <v>336661</v>
      </c>
      <c r="C30">
        <v>282466</v>
      </c>
      <c r="D30">
        <v>88455</v>
      </c>
      <c r="E30">
        <v>62535</v>
      </c>
    </row>
    <row r="31" spans="1:5" x14ac:dyDescent="0.25">
      <c r="A31" s="3">
        <v>45628</v>
      </c>
      <c r="B31">
        <v>470269</v>
      </c>
      <c r="C31">
        <v>421957</v>
      </c>
      <c r="D31">
        <v>309904</v>
      </c>
      <c r="E31">
        <v>221274</v>
      </c>
    </row>
    <row r="32" spans="1:5" x14ac:dyDescent="0.25">
      <c r="A32" s="3">
        <v>45635</v>
      </c>
      <c r="B32">
        <v>35842</v>
      </c>
      <c r="C32">
        <v>220616</v>
      </c>
      <c r="D32">
        <v>20607</v>
      </c>
      <c r="E32">
        <v>451894</v>
      </c>
    </row>
    <row r="33" spans="1:5" x14ac:dyDescent="0.25">
      <c r="A33" s="3">
        <v>45642</v>
      </c>
      <c r="B33">
        <v>415815</v>
      </c>
      <c r="C33">
        <v>465553</v>
      </c>
      <c r="D33">
        <v>327183</v>
      </c>
      <c r="E33">
        <v>488901</v>
      </c>
    </row>
    <row r="34" spans="1:5" x14ac:dyDescent="0.25">
      <c r="A34" s="3">
        <v>45649</v>
      </c>
      <c r="B34">
        <v>93347</v>
      </c>
      <c r="C34">
        <v>280795</v>
      </c>
      <c r="D34">
        <v>81119</v>
      </c>
      <c r="E34">
        <v>25177</v>
      </c>
    </row>
    <row r="35" spans="1:5" x14ac:dyDescent="0.25">
      <c r="A35" s="3">
        <v>45656</v>
      </c>
      <c r="B35">
        <v>379431</v>
      </c>
      <c r="C35">
        <v>140804</v>
      </c>
      <c r="D35">
        <v>274831</v>
      </c>
      <c r="E35">
        <v>136845</v>
      </c>
    </row>
    <row r="36" spans="1:5" x14ac:dyDescent="0.25">
      <c r="A36" s="3">
        <v>45663</v>
      </c>
      <c r="B36">
        <v>95728</v>
      </c>
      <c r="C36">
        <v>466382</v>
      </c>
      <c r="D36">
        <v>371156</v>
      </c>
      <c r="E36">
        <v>95410</v>
      </c>
    </row>
    <row r="37" spans="1:5" x14ac:dyDescent="0.25">
      <c r="A37" s="3">
        <v>45670</v>
      </c>
      <c r="B37">
        <v>224699</v>
      </c>
      <c r="C37">
        <v>349413</v>
      </c>
      <c r="D37">
        <v>487896</v>
      </c>
      <c r="E37">
        <v>14437</v>
      </c>
    </row>
    <row r="38" spans="1:5" x14ac:dyDescent="0.25">
      <c r="A38" s="3">
        <v>45677</v>
      </c>
      <c r="B38">
        <v>479490</v>
      </c>
      <c r="C38">
        <v>383681</v>
      </c>
      <c r="D38">
        <v>124404</v>
      </c>
      <c r="E38">
        <v>336949</v>
      </c>
    </row>
    <row r="39" spans="1:5" x14ac:dyDescent="0.25">
      <c r="A39" s="3">
        <v>45684</v>
      </c>
      <c r="B39">
        <v>321307</v>
      </c>
      <c r="C39">
        <v>357265</v>
      </c>
      <c r="D39">
        <v>262569</v>
      </c>
      <c r="E39">
        <v>461669</v>
      </c>
    </row>
    <row r="40" spans="1:5" x14ac:dyDescent="0.25">
      <c r="A40" s="3">
        <v>45691</v>
      </c>
      <c r="B40">
        <v>135987</v>
      </c>
      <c r="C40">
        <v>351556</v>
      </c>
      <c r="D40">
        <v>177554</v>
      </c>
      <c r="E40">
        <v>270766</v>
      </c>
    </row>
    <row r="41" spans="1:5" x14ac:dyDescent="0.25">
      <c r="A41" s="3">
        <v>45698</v>
      </c>
      <c r="B41">
        <v>309914</v>
      </c>
      <c r="C41">
        <v>222126</v>
      </c>
      <c r="D41">
        <v>126582</v>
      </c>
      <c r="E41">
        <v>485280</v>
      </c>
    </row>
    <row r="42" spans="1:5" x14ac:dyDescent="0.25">
      <c r="A42" s="3">
        <v>45705</v>
      </c>
      <c r="B42">
        <v>104967</v>
      </c>
      <c r="C42">
        <v>453243</v>
      </c>
      <c r="D42">
        <v>145608</v>
      </c>
      <c r="E42">
        <v>105980</v>
      </c>
    </row>
    <row r="43" spans="1:5" x14ac:dyDescent="0.25">
      <c r="A43" s="3">
        <v>45712</v>
      </c>
      <c r="B43">
        <v>230448</v>
      </c>
      <c r="C43">
        <v>126524</v>
      </c>
      <c r="D43">
        <v>317007</v>
      </c>
      <c r="E43">
        <v>464239</v>
      </c>
    </row>
    <row r="44" spans="1:5" x14ac:dyDescent="0.25">
      <c r="A44" s="3">
        <v>45719</v>
      </c>
      <c r="B44">
        <v>366881</v>
      </c>
      <c r="C44">
        <v>257579</v>
      </c>
      <c r="D44">
        <v>466575</v>
      </c>
      <c r="E44">
        <v>224534</v>
      </c>
    </row>
    <row r="45" spans="1:5" x14ac:dyDescent="0.25">
      <c r="A45" s="3">
        <v>45726</v>
      </c>
      <c r="B45">
        <v>340842</v>
      </c>
      <c r="C45">
        <v>462142</v>
      </c>
      <c r="D45">
        <v>12471</v>
      </c>
      <c r="E45">
        <v>98397</v>
      </c>
    </row>
    <row r="46" spans="1:5" x14ac:dyDescent="0.25">
      <c r="A46" s="3">
        <v>45733</v>
      </c>
      <c r="B46">
        <v>342129</v>
      </c>
      <c r="C46">
        <v>410330</v>
      </c>
      <c r="D46">
        <v>12447</v>
      </c>
      <c r="E46">
        <v>17380</v>
      </c>
    </row>
    <row r="47" spans="1:5" x14ac:dyDescent="0.25">
      <c r="A47" s="3">
        <v>45740</v>
      </c>
      <c r="B47">
        <v>373606</v>
      </c>
      <c r="C47">
        <v>364810</v>
      </c>
      <c r="D47">
        <v>211090</v>
      </c>
      <c r="E47">
        <v>441931</v>
      </c>
    </row>
    <row r="48" spans="1:5" x14ac:dyDescent="0.25">
      <c r="A48" s="3">
        <v>45747</v>
      </c>
      <c r="B48">
        <v>370070</v>
      </c>
      <c r="C48">
        <v>282780</v>
      </c>
      <c r="D48">
        <v>198350</v>
      </c>
      <c r="E48">
        <v>435726</v>
      </c>
    </row>
    <row r="49" spans="1:5" x14ac:dyDescent="0.25">
      <c r="A49" s="3">
        <v>45754</v>
      </c>
      <c r="B49">
        <v>98596</v>
      </c>
      <c r="C49">
        <v>78789</v>
      </c>
      <c r="D49">
        <v>29589</v>
      </c>
      <c r="E49">
        <v>290354</v>
      </c>
    </row>
    <row r="50" spans="1:5" x14ac:dyDescent="0.25">
      <c r="A50" s="3">
        <v>45761</v>
      </c>
      <c r="B50">
        <v>70707</v>
      </c>
      <c r="C50">
        <v>66682</v>
      </c>
      <c r="D50">
        <v>142507</v>
      </c>
      <c r="E50">
        <v>369525</v>
      </c>
    </row>
    <row r="51" spans="1:5" x14ac:dyDescent="0.25">
      <c r="A51" s="3">
        <v>45768</v>
      </c>
      <c r="B51">
        <v>377382</v>
      </c>
      <c r="C51">
        <v>62942</v>
      </c>
      <c r="D51">
        <v>333851</v>
      </c>
      <c r="E51">
        <v>270958</v>
      </c>
    </row>
    <row r="52" spans="1:5" x14ac:dyDescent="0.25">
      <c r="A52" s="3">
        <v>45775</v>
      </c>
      <c r="B52">
        <v>224830</v>
      </c>
      <c r="C52">
        <v>445944</v>
      </c>
      <c r="D52">
        <v>487289</v>
      </c>
      <c r="E52">
        <v>11435</v>
      </c>
    </row>
    <row r="53" spans="1:5" x14ac:dyDescent="0.25">
      <c r="A53" s="3">
        <v>45782</v>
      </c>
      <c r="B53">
        <v>418696</v>
      </c>
      <c r="C53">
        <v>447902</v>
      </c>
      <c r="D53">
        <v>484364</v>
      </c>
      <c r="E53">
        <v>148477</v>
      </c>
    </row>
    <row r="54" spans="1:5" x14ac:dyDescent="0.25">
      <c r="A54" s="3">
        <v>45789</v>
      </c>
      <c r="B54">
        <v>364820</v>
      </c>
      <c r="C54">
        <v>468301</v>
      </c>
      <c r="D54">
        <v>456298</v>
      </c>
      <c r="E54">
        <v>82558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85D7-7F3F-4AD9-B766-735BC2808414}">
  <dimension ref="A3:K53"/>
  <sheetViews>
    <sheetView workbookViewId="0">
      <selection activeCell="A32" sqref="A32"/>
    </sheetView>
  </sheetViews>
  <sheetFormatPr defaultRowHeight="15" x14ac:dyDescent="0.25"/>
  <cols>
    <col min="1" max="1" width="13.42578125" bestFit="1" customWidth="1"/>
    <col min="2" max="2" width="22.140625" bestFit="1" customWidth="1"/>
    <col min="3" max="3" width="16.28515625" bestFit="1" customWidth="1"/>
  </cols>
  <sheetData>
    <row r="3" spans="1:11" x14ac:dyDescent="0.25">
      <c r="A3" s="2" t="s">
        <v>11</v>
      </c>
      <c r="B3" t="s">
        <v>13</v>
      </c>
      <c r="C3" s="4" t="s">
        <v>15</v>
      </c>
    </row>
    <row r="4" spans="1:11" ht="17.25" customHeight="1" x14ac:dyDescent="0.25">
      <c r="A4" s="3">
        <v>45446</v>
      </c>
      <c r="B4">
        <v>929108</v>
      </c>
      <c r="C4" t="s">
        <v>16</v>
      </c>
      <c r="E4" s="7" t="s">
        <v>17</v>
      </c>
      <c r="F4" s="7"/>
      <c r="G4" s="7"/>
      <c r="H4" s="7"/>
      <c r="I4" s="7"/>
      <c r="J4" s="7"/>
      <c r="K4" s="7"/>
    </row>
    <row r="5" spans="1:11" x14ac:dyDescent="0.25">
      <c r="A5" s="3">
        <v>45453</v>
      </c>
      <c r="B5">
        <v>1033937</v>
      </c>
      <c r="C5">
        <f>B5-B4</f>
        <v>104829</v>
      </c>
      <c r="E5" s="7"/>
      <c r="F5" s="7"/>
      <c r="G5" s="7"/>
      <c r="H5" s="7"/>
      <c r="I5" s="7"/>
      <c r="J5" s="7"/>
      <c r="K5" s="7"/>
    </row>
    <row r="6" spans="1:11" x14ac:dyDescent="0.25">
      <c r="A6" s="3">
        <v>45460</v>
      </c>
      <c r="B6">
        <v>1132025</v>
      </c>
      <c r="C6">
        <f t="shared" ref="C6:C53" si="0">B6-B5</f>
        <v>98088</v>
      </c>
      <c r="E6" s="7"/>
      <c r="F6" s="7"/>
      <c r="G6" s="7"/>
      <c r="H6" s="7"/>
      <c r="I6" s="7"/>
      <c r="J6" s="7"/>
      <c r="K6" s="7"/>
    </row>
    <row r="7" spans="1:11" x14ac:dyDescent="0.25">
      <c r="A7" s="3">
        <v>45467</v>
      </c>
      <c r="B7">
        <v>786564</v>
      </c>
      <c r="C7">
        <f t="shared" si="0"/>
        <v>-345461</v>
      </c>
    </row>
    <row r="8" spans="1:11" x14ac:dyDescent="0.25">
      <c r="A8" s="3">
        <v>45474</v>
      </c>
      <c r="B8">
        <v>1068450</v>
      </c>
      <c r="C8">
        <f t="shared" si="0"/>
        <v>281886</v>
      </c>
    </row>
    <row r="9" spans="1:11" x14ac:dyDescent="0.25">
      <c r="A9" s="3">
        <v>45481</v>
      </c>
      <c r="B9">
        <v>933421</v>
      </c>
      <c r="C9">
        <f t="shared" si="0"/>
        <v>-135029</v>
      </c>
    </row>
    <row r="10" spans="1:11" x14ac:dyDescent="0.25">
      <c r="A10" s="3">
        <v>45488</v>
      </c>
      <c r="B10">
        <v>871480</v>
      </c>
      <c r="C10">
        <f t="shared" si="0"/>
        <v>-61941</v>
      </c>
    </row>
    <row r="11" spans="1:11" x14ac:dyDescent="0.25">
      <c r="A11" s="3">
        <v>45495</v>
      </c>
      <c r="B11">
        <v>1273686</v>
      </c>
      <c r="C11">
        <f t="shared" si="0"/>
        <v>402206</v>
      </c>
    </row>
    <row r="12" spans="1:11" x14ac:dyDescent="0.25">
      <c r="A12" s="3">
        <v>45502</v>
      </c>
      <c r="B12">
        <v>808771</v>
      </c>
      <c r="C12">
        <f t="shared" si="0"/>
        <v>-464915</v>
      </c>
    </row>
    <row r="13" spans="1:11" x14ac:dyDescent="0.25">
      <c r="A13" s="3">
        <v>45509</v>
      </c>
      <c r="B13">
        <v>1333646</v>
      </c>
      <c r="C13">
        <f t="shared" si="0"/>
        <v>524875</v>
      </c>
    </row>
    <row r="14" spans="1:11" x14ac:dyDescent="0.25">
      <c r="A14" s="3">
        <v>45516</v>
      </c>
      <c r="B14">
        <v>1333725</v>
      </c>
      <c r="C14">
        <f t="shared" si="0"/>
        <v>79</v>
      </c>
    </row>
    <row r="15" spans="1:11" x14ac:dyDescent="0.25">
      <c r="A15" s="3">
        <v>45523</v>
      </c>
      <c r="B15">
        <v>785466</v>
      </c>
      <c r="C15">
        <f t="shared" si="0"/>
        <v>-548259</v>
      </c>
    </row>
    <row r="16" spans="1:11" x14ac:dyDescent="0.25">
      <c r="A16" s="3">
        <v>45530</v>
      </c>
      <c r="B16">
        <v>1258677</v>
      </c>
      <c r="C16">
        <f t="shared" si="0"/>
        <v>473211</v>
      </c>
    </row>
    <row r="17" spans="1:10" x14ac:dyDescent="0.25">
      <c r="A17" s="3">
        <v>45537</v>
      </c>
      <c r="B17">
        <v>1288064</v>
      </c>
      <c r="C17">
        <f t="shared" si="0"/>
        <v>29387</v>
      </c>
    </row>
    <row r="18" spans="1:10" x14ac:dyDescent="0.25">
      <c r="A18" s="3">
        <v>45544</v>
      </c>
      <c r="B18">
        <v>1184208</v>
      </c>
      <c r="C18">
        <f t="shared" si="0"/>
        <v>-103856</v>
      </c>
    </row>
    <row r="19" spans="1:10" x14ac:dyDescent="0.25">
      <c r="A19" s="3">
        <v>45551</v>
      </c>
      <c r="B19">
        <v>1037244</v>
      </c>
      <c r="C19">
        <f t="shared" si="0"/>
        <v>-146964</v>
      </c>
    </row>
    <row r="20" spans="1:10" x14ac:dyDescent="0.25">
      <c r="A20" s="3">
        <v>45558</v>
      </c>
      <c r="B20">
        <v>994071</v>
      </c>
      <c r="C20">
        <f t="shared" si="0"/>
        <v>-43173</v>
      </c>
    </row>
    <row r="21" spans="1:10" x14ac:dyDescent="0.25">
      <c r="A21" s="3">
        <v>45565</v>
      </c>
      <c r="B21">
        <v>982958</v>
      </c>
      <c r="C21">
        <f t="shared" si="0"/>
        <v>-11113</v>
      </c>
    </row>
    <row r="22" spans="1:10" x14ac:dyDescent="0.25">
      <c r="A22" s="3">
        <v>45572</v>
      </c>
      <c r="B22">
        <v>1160799</v>
      </c>
      <c r="C22">
        <f t="shared" si="0"/>
        <v>177841</v>
      </c>
    </row>
    <row r="23" spans="1:10" x14ac:dyDescent="0.25">
      <c r="A23" s="3">
        <v>45579</v>
      </c>
      <c r="B23">
        <v>1055104</v>
      </c>
      <c r="C23">
        <f t="shared" si="0"/>
        <v>-105695</v>
      </c>
    </row>
    <row r="24" spans="1:10" x14ac:dyDescent="0.25">
      <c r="A24" s="3">
        <v>45586</v>
      </c>
      <c r="B24">
        <v>895778</v>
      </c>
      <c r="C24">
        <f t="shared" si="0"/>
        <v>-159326</v>
      </c>
    </row>
    <row r="25" spans="1:10" x14ac:dyDescent="0.25">
      <c r="A25" s="3">
        <v>45593</v>
      </c>
      <c r="B25">
        <v>1102886</v>
      </c>
      <c r="C25">
        <f t="shared" si="0"/>
        <v>207108</v>
      </c>
    </row>
    <row r="26" spans="1:10" x14ac:dyDescent="0.25">
      <c r="A26" s="3">
        <v>45600</v>
      </c>
      <c r="B26">
        <v>1072145</v>
      </c>
      <c r="C26">
        <f t="shared" si="0"/>
        <v>-30741</v>
      </c>
    </row>
    <row r="27" spans="1:10" x14ac:dyDescent="0.25">
      <c r="A27" s="3">
        <v>45607</v>
      </c>
      <c r="B27">
        <v>569274</v>
      </c>
      <c r="C27">
        <f t="shared" si="0"/>
        <v>-502871</v>
      </c>
    </row>
    <row r="28" spans="1:10" x14ac:dyDescent="0.25">
      <c r="A28" s="3">
        <v>45614</v>
      </c>
      <c r="B28">
        <v>1179152</v>
      </c>
      <c r="C28">
        <f t="shared" si="0"/>
        <v>609878</v>
      </c>
    </row>
    <row r="29" spans="1:10" x14ac:dyDescent="0.25">
      <c r="A29" s="3">
        <v>45621</v>
      </c>
      <c r="B29">
        <v>770117</v>
      </c>
      <c r="C29">
        <f t="shared" si="0"/>
        <v>-409035</v>
      </c>
    </row>
    <row r="30" spans="1:10" x14ac:dyDescent="0.25">
      <c r="A30" s="3">
        <v>45628</v>
      </c>
      <c r="B30">
        <v>1423404</v>
      </c>
      <c r="C30">
        <f t="shared" si="0"/>
        <v>653287</v>
      </c>
    </row>
    <row r="31" spans="1:10" x14ac:dyDescent="0.25">
      <c r="A31" s="3">
        <v>45635</v>
      </c>
      <c r="B31">
        <v>728959</v>
      </c>
      <c r="C31">
        <f t="shared" si="0"/>
        <v>-694445</v>
      </c>
    </row>
    <row r="32" spans="1:10" ht="15.75" x14ac:dyDescent="0.25">
      <c r="A32" s="3">
        <v>45642</v>
      </c>
      <c r="B32">
        <v>1697452</v>
      </c>
      <c r="C32">
        <f t="shared" si="0"/>
        <v>968493</v>
      </c>
      <c r="E32" s="8" t="s">
        <v>18</v>
      </c>
      <c r="F32" s="8"/>
      <c r="G32" s="8"/>
      <c r="H32" s="8"/>
      <c r="I32" s="8"/>
      <c r="J32" s="8"/>
    </row>
    <row r="33" spans="1:5" x14ac:dyDescent="0.25">
      <c r="A33" s="3">
        <v>45649</v>
      </c>
      <c r="B33">
        <v>480438</v>
      </c>
      <c r="C33">
        <f t="shared" si="0"/>
        <v>-1217014</v>
      </c>
    </row>
    <row r="34" spans="1:5" ht="15.75" x14ac:dyDescent="0.25">
      <c r="A34" s="3">
        <v>45656</v>
      </c>
      <c r="B34">
        <v>931911</v>
      </c>
      <c r="C34">
        <f t="shared" si="0"/>
        <v>451473</v>
      </c>
      <c r="E34" s="5"/>
    </row>
    <row r="35" spans="1:5" x14ac:dyDescent="0.25">
      <c r="A35" s="3">
        <v>45663</v>
      </c>
      <c r="B35">
        <v>1028676</v>
      </c>
      <c r="C35">
        <f t="shared" si="0"/>
        <v>96765</v>
      </c>
    </row>
    <row r="36" spans="1:5" x14ac:dyDescent="0.25">
      <c r="A36" s="3">
        <v>45670</v>
      </c>
      <c r="B36">
        <v>1076445</v>
      </c>
      <c r="C36">
        <f t="shared" si="0"/>
        <v>47769</v>
      </c>
    </row>
    <row r="37" spans="1:5" x14ac:dyDescent="0.25">
      <c r="A37" s="3">
        <v>45677</v>
      </c>
      <c r="B37">
        <v>1324524</v>
      </c>
      <c r="C37">
        <f t="shared" si="0"/>
        <v>248079</v>
      </c>
    </row>
    <row r="38" spans="1:5" x14ac:dyDescent="0.25">
      <c r="A38" s="3">
        <v>45684</v>
      </c>
      <c r="B38">
        <v>1402810</v>
      </c>
      <c r="C38">
        <f t="shared" si="0"/>
        <v>78286</v>
      </c>
    </row>
    <row r="39" spans="1:5" x14ac:dyDescent="0.25">
      <c r="A39" s="3">
        <v>45691</v>
      </c>
      <c r="B39">
        <v>935863</v>
      </c>
      <c r="C39">
        <f t="shared" si="0"/>
        <v>-466947</v>
      </c>
    </row>
    <row r="40" spans="1:5" x14ac:dyDescent="0.25">
      <c r="A40" s="3">
        <v>45698</v>
      </c>
      <c r="B40">
        <v>1143902</v>
      </c>
      <c r="C40">
        <f t="shared" si="0"/>
        <v>208039</v>
      </c>
    </row>
    <row r="41" spans="1:5" x14ac:dyDescent="0.25">
      <c r="A41" s="3">
        <v>45705</v>
      </c>
      <c r="B41">
        <v>809798</v>
      </c>
      <c r="C41">
        <f t="shared" si="0"/>
        <v>-334104</v>
      </c>
    </row>
    <row r="42" spans="1:5" x14ac:dyDescent="0.25">
      <c r="A42" s="3">
        <v>45712</v>
      </c>
      <c r="B42">
        <v>1138218</v>
      </c>
      <c r="C42">
        <f t="shared" si="0"/>
        <v>328420</v>
      </c>
    </row>
    <row r="43" spans="1:5" x14ac:dyDescent="0.25">
      <c r="A43" s="3">
        <v>45719</v>
      </c>
      <c r="B43">
        <v>1315569</v>
      </c>
      <c r="C43">
        <f t="shared" si="0"/>
        <v>177351</v>
      </c>
    </row>
    <row r="44" spans="1:5" x14ac:dyDescent="0.25">
      <c r="A44" s="3">
        <v>45726</v>
      </c>
      <c r="B44">
        <v>913852</v>
      </c>
      <c r="C44">
        <f t="shared" si="0"/>
        <v>-401717</v>
      </c>
    </row>
    <row r="45" spans="1:5" x14ac:dyDescent="0.25">
      <c r="A45" s="3">
        <v>45733</v>
      </c>
      <c r="B45">
        <v>782286</v>
      </c>
      <c r="C45">
        <f t="shared" si="0"/>
        <v>-131566</v>
      </c>
    </row>
    <row r="46" spans="1:5" x14ac:dyDescent="0.25">
      <c r="A46" s="3">
        <v>45740</v>
      </c>
      <c r="B46">
        <v>1391437</v>
      </c>
      <c r="C46">
        <f t="shared" si="0"/>
        <v>609151</v>
      </c>
    </row>
    <row r="47" spans="1:5" x14ac:dyDescent="0.25">
      <c r="A47" s="3">
        <v>45747</v>
      </c>
      <c r="B47">
        <v>1286926</v>
      </c>
      <c r="C47">
        <f t="shared" si="0"/>
        <v>-104511</v>
      </c>
    </row>
    <row r="48" spans="1:5" x14ac:dyDescent="0.25">
      <c r="A48" s="3">
        <v>45754</v>
      </c>
      <c r="B48">
        <v>497328</v>
      </c>
      <c r="C48">
        <f t="shared" si="0"/>
        <v>-789598</v>
      </c>
    </row>
    <row r="49" spans="1:3" x14ac:dyDescent="0.25">
      <c r="A49" s="3">
        <v>45761</v>
      </c>
      <c r="B49">
        <v>649421</v>
      </c>
      <c r="C49">
        <f t="shared" si="0"/>
        <v>152093</v>
      </c>
    </row>
    <row r="50" spans="1:3" x14ac:dyDescent="0.25">
      <c r="A50" s="3">
        <v>45768</v>
      </c>
      <c r="B50">
        <v>1045133</v>
      </c>
      <c r="C50">
        <f t="shared" si="0"/>
        <v>395712</v>
      </c>
    </row>
    <row r="51" spans="1:3" x14ac:dyDescent="0.25">
      <c r="A51" s="3">
        <v>45775</v>
      </c>
      <c r="B51">
        <v>1169498</v>
      </c>
      <c r="C51">
        <f t="shared" si="0"/>
        <v>124365</v>
      </c>
    </row>
    <row r="52" spans="1:3" x14ac:dyDescent="0.25">
      <c r="A52" s="3">
        <v>45782</v>
      </c>
      <c r="B52">
        <v>1499439</v>
      </c>
      <c r="C52">
        <f t="shared" si="0"/>
        <v>329941</v>
      </c>
    </row>
    <row r="53" spans="1:3" x14ac:dyDescent="0.25">
      <c r="A53" s="3">
        <v>45789</v>
      </c>
      <c r="B53">
        <v>1371977</v>
      </c>
      <c r="C53">
        <f t="shared" si="0"/>
        <v>-127462</v>
      </c>
    </row>
  </sheetData>
  <mergeCells count="1">
    <mergeCell ref="E4:K6"/>
  </mergeCells>
  <conditionalFormatting sqref="C5:C53">
    <cfRule type="top10" dxfId="0" priority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12C5-5A0C-4CD2-AA9F-FFA90DA5A42C}">
  <dimension ref="A1:J51"/>
  <sheetViews>
    <sheetView workbookViewId="0">
      <selection sqref="A1:A1048576"/>
    </sheetView>
  </sheetViews>
  <sheetFormatPr defaultRowHeight="15" x14ac:dyDescent="0.25"/>
  <cols>
    <col min="1" max="1" width="10.85546875" bestFit="1" customWidth="1"/>
    <col min="2" max="2" width="14.140625" bestFit="1" customWidth="1"/>
    <col min="3" max="3" width="11.42578125" bestFit="1" customWidth="1"/>
  </cols>
  <sheetData>
    <row r="1" spans="1:3" x14ac:dyDescent="0.25">
      <c r="A1" s="6" t="s">
        <v>22</v>
      </c>
      <c r="B1" s="6" t="s">
        <v>19</v>
      </c>
      <c r="C1" s="6" t="s">
        <v>20</v>
      </c>
    </row>
    <row r="2" spans="1:3" x14ac:dyDescent="0.25">
      <c r="A2" s="3">
        <v>45446</v>
      </c>
      <c r="B2">
        <v>929108</v>
      </c>
    </row>
    <row r="3" spans="1:3" x14ac:dyDescent="0.25">
      <c r="A3" s="3">
        <v>45453</v>
      </c>
      <c r="B3">
        <v>1033937</v>
      </c>
    </row>
    <row r="4" spans="1:3" x14ac:dyDescent="0.25">
      <c r="A4" s="3">
        <v>45460</v>
      </c>
      <c r="B4">
        <v>1132025</v>
      </c>
    </row>
    <row r="5" spans="1:3" x14ac:dyDescent="0.25">
      <c r="A5" s="3">
        <v>45467</v>
      </c>
      <c r="B5">
        <v>786564</v>
      </c>
      <c r="C5">
        <f>AVERAGE(B2:B4)</f>
        <v>1031690</v>
      </c>
    </row>
    <row r="6" spans="1:3" x14ac:dyDescent="0.25">
      <c r="A6" s="3">
        <v>45474</v>
      </c>
      <c r="B6">
        <v>1068450</v>
      </c>
      <c r="C6">
        <f t="shared" ref="C6:C51" si="0">AVERAGE(B3:B5)</f>
        <v>984175.33333333337</v>
      </c>
    </row>
    <row r="7" spans="1:3" x14ac:dyDescent="0.25">
      <c r="A7" s="3">
        <v>45481</v>
      </c>
      <c r="B7">
        <v>933421</v>
      </c>
      <c r="C7">
        <f t="shared" si="0"/>
        <v>995679.66666666663</v>
      </c>
    </row>
    <row r="8" spans="1:3" x14ac:dyDescent="0.25">
      <c r="A8" s="3">
        <v>45488</v>
      </c>
      <c r="B8">
        <v>871480</v>
      </c>
      <c r="C8">
        <f t="shared" si="0"/>
        <v>929478.33333333337</v>
      </c>
    </row>
    <row r="9" spans="1:3" x14ac:dyDescent="0.25">
      <c r="A9" s="3">
        <v>45495</v>
      </c>
      <c r="B9">
        <v>1273686</v>
      </c>
      <c r="C9">
        <f t="shared" si="0"/>
        <v>957783.66666666663</v>
      </c>
    </row>
    <row r="10" spans="1:3" x14ac:dyDescent="0.25">
      <c r="A10" s="3">
        <v>45502</v>
      </c>
      <c r="B10">
        <v>808771</v>
      </c>
      <c r="C10">
        <f t="shared" si="0"/>
        <v>1026195.6666666666</v>
      </c>
    </row>
    <row r="11" spans="1:3" x14ac:dyDescent="0.25">
      <c r="A11" s="3">
        <v>45509</v>
      </c>
      <c r="B11">
        <v>1333646</v>
      </c>
      <c r="C11">
        <f t="shared" si="0"/>
        <v>984645.66666666663</v>
      </c>
    </row>
    <row r="12" spans="1:3" x14ac:dyDescent="0.25">
      <c r="A12" s="3">
        <v>45516</v>
      </c>
      <c r="B12">
        <v>1333725</v>
      </c>
      <c r="C12">
        <f t="shared" si="0"/>
        <v>1138701</v>
      </c>
    </row>
    <row r="13" spans="1:3" x14ac:dyDescent="0.25">
      <c r="A13" s="3">
        <v>45523</v>
      </c>
      <c r="B13">
        <v>785466</v>
      </c>
      <c r="C13">
        <f t="shared" si="0"/>
        <v>1158714</v>
      </c>
    </row>
    <row r="14" spans="1:3" x14ac:dyDescent="0.25">
      <c r="A14" s="3">
        <v>45530</v>
      </c>
      <c r="B14">
        <v>1258677</v>
      </c>
      <c r="C14">
        <f t="shared" si="0"/>
        <v>1150945.6666666667</v>
      </c>
    </row>
    <row r="15" spans="1:3" x14ac:dyDescent="0.25">
      <c r="A15" s="3">
        <v>45537</v>
      </c>
      <c r="B15">
        <v>1288064</v>
      </c>
      <c r="C15">
        <f t="shared" si="0"/>
        <v>1125956</v>
      </c>
    </row>
    <row r="16" spans="1:3" x14ac:dyDescent="0.25">
      <c r="A16" s="3">
        <v>45544</v>
      </c>
      <c r="B16">
        <v>1184208</v>
      </c>
      <c r="C16">
        <f t="shared" si="0"/>
        <v>1110735.6666666667</v>
      </c>
    </row>
    <row r="17" spans="1:10" x14ac:dyDescent="0.25">
      <c r="A17" s="3">
        <v>45551</v>
      </c>
      <c r="B17">
        <v>1037244</v>
      </c>
      <c r="C17">
        <f t="shared" si="0"/>
        <v>1243649.6666666667</v>
      </c>
    </row>
    <row r="18" spans="1:10" x14ac:dyDescent="0.25">
      <c r="A18" s="3">
        <v>45558</v>
      </c>
      <c r="B18">
        <v>994071</v>
      </c>
      <c r="C18">
        <f t="shared" si="0"/>
        <v>1169838.6666666667</v>
      </c>
    </row>
    <row r="19" spans="1:10" x14ac:dyDescent="0.25">
      <c r="A19" s="3">
        <v>45565</v>
      </c>
      <c r="B19">
        <v>982958</v>
      </c>
      <c r="C19">
        <f t="shared" si="0"/>
        <v>1071841</v>
      </c>
    </row>
    <row r="20" spans="1:10" x14ac:dyDescent="0.25">
      <c r="A20" s="3">
        <v>45572</v>
      </c>
      <c r="B20">
        <v>1160799</v>
      </c>
      <c r="C20">
        <f t="shared" si="0"/>
        <v>1004757.6666666666</v>
      </c>
    </row>
    <row r="21" spans="1:10" x14ac:dyDescent="0.25">
      <c r="A21" s="3">
        <v>45579</v>
      </c>
      <c r="B21">
        <v>1055104</v>
      </c>
      <c r="C21">
        <f t="shared" si="0"/>
        <v>1045942.6666666666</v>
      </c>
    </row>
    <row r="22" spans="1:10" x14ac:dyDescent="0.25">
      <c r="A22" s="3">
        <v>45586</v>
      </c>
      <c r="B22">
        <v>895778</v>
      </c>
      <c r="C22">
        <f t="shared" si="0"/>
        <v>1066287</v>
      </c>
    </row>
    <row r="23" spans="1:10" ht="14.25" customHeight="1" x14ac:dyDescent="0.25">
      <c r="A23" s="3">
        <v>45593</v>
      </c>
      <c r="B23">
        <v>1102886</v>
      </c>
      <c r="C23">
        <f t="shared" si="0"/>
        <v>1037227</v>
      </c>
      <c r="F23" s="9" t="s">
        <v>21</v>
      </c>
      <c r="G23" s="9"/>
      <c r="H23" s="9"/>
      <c r="I23" s="9"/>
      <c r="J23" s="9"/>
    </row>
    <row r="24" spans="1:10" x14ac:dyDescent="0.25">
      <c r="A24" s="3">
        <v>45600</v>
      </c>
      <c r="B24">
        <v>1072145</v>
      </c>
      <c r="C24">
        <f t="shared" si="0"/>
        <v>1017922.6666666666</v>
      </c>
      <c r="F24" s="9"/>
      <c r="G24" s="9"/>
      <c r="H24" s="9"/>
      <c r="I24" s="9"/>
      <c r="J24" s="9"/>
    </row>
    <row r="25" spans="1:10" x14ac:dyDescent="0.25">
      <c r="A25" s="3">
        <v>45607</v>
      </c>
      <c r="B25">
        <v>569274</v>
      </c>
      <c r="C25">
        <f t="shared" si="0"/>
        <v>1023603</v>
      </c>
    </row>
    <row r="26" spans="1:10" x14ac:dyDescent="0.25">
      <c r="A26" s="3">
        <v>45614</v>
      </c>
      <c r="B26">
        <v>1179152</v>
      </c>
      <c r="C26">
        <f t="shared" si="0"/>
        <v>914768.33333333337</v>
      </c>
    </row>
    <row r="27" spans="1:10" x14ac:dyDescent="0.25">
      <c r="A27" s="3">
        <v>45621</v>
      </c>
      <c r="B27">
        <v>770117</v>
      </c>
      <c r="C27">
        <f t="shared" si="0"/>
        <v>940190.33333333337</v>
      </c>
    </row>
    <row r="28" spans="1:10" x14ac:dyDescent="0.25">
      <c r="A28" s="3">
        <v>45628</v>
      </c>
      <c r="B28">
        <v>1423404</v>
      </c>
      <c r="C28">
        <f t="shared" si="0"/>
        <v>839514.33333333337</v>
      </c>
    </row>
    <row r="29" spans="1:10" x14ac:dyDescent="0.25">
      <c r="A29" s="3">
        <v>45635</v>
      </c>
      <c r="B29">
        <v>728959</v>
      </c>
      <c r="C29">
        <f t="shared" si="0"/>
        <v>1124224.3333333333</v>
      </c>
    </row>
    <row r="30" spans="1:10" x14ac:dyDescent="0.25">
      <c r="A30" s="3">
        <v>45642</v>
      </c>
      <c r="B30">
        <v>1697452</v>
      </c>
      <c r="C30">
        <f t="shared" si="0"/>
        <v>974160</v>
      </c>
    </row>
    <row r="31" spans="1:10" x14ac:dyDescent="0.25">
      <c r="A31" s="3">
        <v>45649</v>
      </c>
      <c r="B31">
        <v>480438</v>
      </c>
      <c r="C31">
        <f t="shared" si="0"/>
        <v>1283271.6666666667</v>
      </c>
    </row>
    <row r="32" spans="1:10" x14ac:dyDescent="0.25">
      <c r="A32" s="3">
        <v>45656</v>
      </c>
      <c r="B32">
        <v>931911</v>
      </c>
      <c r="C32">
        <f t="shared" si="0"/>
        <v>968949.66666666663</v>
      </c>
    </row>
    <row r="33" spans="1:3" x14ac:dyDescent="0.25">
      <c r="A33" s="3">
        <v>45663</v>
      </c>
      <c r="B33">
        <v>1028676</v>
      </c>
      <c r="C33">
        <f t="shared" si="0"/>
        <v>1036600.3333333334</v>
      </c>
    </row>
    <row r="34" spans="1:3" x14ac:dyDescent="0.25">
      <c r="A34" s="3">
        <v>45670</v>
      </c>
      <c r="B34">
        <v>1076445</v>
      </c>
      <c r="C34">
        <f t="shared" si="0"/>
        <v>813675</v>
      </c>
    </row>
    <row r="35" spans="1:3" x14ac:dyDescent="0.25">
      <c r="A35" s="3">
        <v>45677</v>
      </c>
      <c r="B35">
        <v>1324524</v>
      </c>
      <c r="C35">
        <f t="shared" si="0"/>
        <v>1012344</v>
      </c>
    </row>
    <row r="36" spans="1:3" x14ac:dyDescent="0.25">
      <c r="A36" s="3">
        <v>45684</v>
      </c>
      <c r="B36">
        <v>1402810</v>
      </c>
      <c r="C36">
        <f t="shared" si="0"/>
        <v>1143215</v>
      </c>
    </row>
    <row r="37" spans="1:3" x14ac:dyDescent="0.25">
      <c r="A37" s="3">
        <v>45691</v>
      </c>
      <c r="B37">
        <v>935863</v>
      </c>
      <c r="C37">
        <f t="shared" si="0"/>
        <v>1267926.3333333333</v>
      </c>
    </row>
    <row r="38" spans="1:3" x14ac:dyDescent="0.25">
      <c r="A38" s="3">
        <v>45698</v>
      </c>
      <c r="B38">
        <v>1143902</v>
      </c>
      <c r="C38">
        <f t="shared" si="0"/>
        <v>1221065.6666666667</v>
      </c>
    </row>
    <row r="39" spans="1:3" x14ac:dyDescent="0.25">
      <c r="A39" s="3">
        <v>45705</v>
      </c>
      <c r="B39">
        <v>809798</v>
      </c>
      <c r="C39">
        <f t="shared" si="0"/>
        <v>1160858.3333333333</v>
      </c>
    </row>
    <row r="40" spans="1:3" x14ac:dyDescent="0.25">
      <c r="A40" s="3">
        <v>45712</v>
      </c>
      <c r="B40">
        <v>1138218</v>
      </c>
      <c r="C40">
        <f t="shared" si="0"/>
        <v>963187.66666666663</v>
      </c>
    </row>
    <row r="41" spans="1:3" x14ac:dyDescent="0.25">
      <c r="A41" s="3">
        <v>45719</v>
      </c>
      <c r="B41">
        <v>1315569</v>
      </c>
      <c r="C41">
        <f t="shared" si="0"/>
        <v>1030639.3333333334</v>
      </c>
    </row>
    <row r="42" spans="1:3" x14ac:dyDescent="0.25">
      <c r="A42" s="3">
        <v>45726</v>
      </c>
      <c r="B42">
        <v>913852</v>
      </c>
      <c r="C42">
        <f t="shared" si="0"/>
        <v>1087861.6666666667</v>
      </c>
    </row>
    <row r="43" spans="1:3" x14ac:dyDescent="0.25">
      <c r="A43" s="3">
        <v>45733</v>
      </c>
      <c r="B43">
        <v>782286</v>
      </c>
      <c r="C43">
        <f t="shared" si="0"/>
        <v>1122546.3333333333</v>
      </c>
    </row>
    <row r="44" spans="1:3" x14ac:dyDescent="0.25">
      <c r="A44" s="3">
        <v>45740</v>
      </c>
      <c r="B44">
        <v>1391437</v>
      </c>
      <c r="C44">
        <f t="shared" si="0"/>
        <v>1003902.3333333334</v>
      </c>
    </row>
    <row r="45" spans="1:3" x14ac:dyDescent="0.25">
      <c r="A45" s="3">
        <v>45747</v>
      </c>
      <c r="B45">
        <v>1286926</v>
      </c>
      <c r="C45">
        <f t="shared" si="0"/>
        <v>1029191.6666666666</v>
      </c>
    </row>
    <row r="46" spans="1:3" x14ac:dyDescent="0.25">
      <c r="A46" s="3">
        <v>45754</v>
      </c>
      <c r="B46">
        <v>497328</v>
      </c>
      <c r="C46">
        <f t="shared" si="0"/>
        <v>1153549.6666666667</v>
      </c>
    </row>
    <row r="47" spans="1:3" x14ac:dyDescent="0.25">
      <c r="A47" s="3">
        <v>45761</v>
      </c>
      <c r="B47">
        <v>649421</v>
      </c>
      <c r="C47">
        <f t="shared" si="0"/>
        <v>1058563.6666666667</v>
      </c>
    </row>
    <row r="48" spans="1:3" x14ac:dyDescent="0.25">
      <c r="A48" s="3">
        <v>45768</v>
      </c>
      <c r="B48">
        <v>1045133</v>
      </c>
      <c r="C48">
        <f t="shared" si="0"/>
        <v>811225</v>
      </c>
    </row>
    <row r="49" spans="1:3" x14ac:dyDescent="0.25">
      <c r="A49" s="3">
        <v>45775</v>
      </c>
      <c r="B49">
        <v>1169498</v>
      </c>
      <c r="C49">
        <f t="shared" si="0"/>
        <v>730627.33333333337</v>
      </c>
    </row>
    <row r="50" spans="1:3" x14ac:dyDescent="0.25">
      <c r="A50" s="3">
        <v>45782</v>
      </c>
      <c r="B50">
        <v>1499439</v>
      </c>
      <c r="C50">
        <f t="shared" si="0"/>
        <v>954684</v>
      </c>
    </row>
    <row r="51" spans="1:3" x14ac:dyDescent="0.25">
      <c r="A51" s="3">
        <v>45789</v>
      </c>
      <c r="B51">
        <v>1371977</v>
      </c>
      <c r="C51">
        <f t="shared" si="0"/>
        <v>1238023.3333333333</v>
      </c>
    </row>
  </sheetData>
  <mergeCells count="1">
    <mergeCell ref="F23:J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0BEB-1E58-4A2A-B16E-FF31BE128710}">
  <dimension ref="A1:C51"/>
  <sheetViews>
    <sheetView tabSelected="1" workbookViewId="0"/>
  </sheetViews>
  <sheetFormatPr defaultRowHeight="15" x14ac:dyDescent="0.25"/>
  <cols>
    <col min="1" max="1" width="10.85546875" bestFit="1" customWidth="1"/>
    <col min="2" max="2" width="16.140625" bestFit="1" customWidth="1"/>
    <col min="3" max="3" width="21.7109375" bestFit="1" customWidth="1"/>
  </cols>
  <sheetData>
    <row r="1" spans="1:3" x14ac:dyDescent="0.25">
      <c r="A1" s="6" t="s">
        <v>22</v>
      </c>
      <c r="B1" s="6" t="s">
        <v>14</v>
      </c>
      <c r="C1" s="6" t="s">
        <v>15</v>
      </c>
    </row>
    <row r="2" spans="1:3" x14ac:dyDescent="0.25">
      <c r="A2" s="3">
        <v>45446</v>
      </c>
      <c r="B2">
        <v>72893</v>
      </c>
      <c r="C2">
        <v>929108</v>
      </c>
    </row>
    <row r="3" spans="1:3" x14ac:dyDescent="0.25">
      <c r="A3" s="3">
        <v>45453</v>
      </c>
      <c r="B3">
        <v>47961</v>
      </c>
      <c r="C3">
        <v>1033937</v>
      </c>
    </row>
    <row r="4" spans="1:3" x14ac:dyDescent="0.25">
      <c r="A4" s="3">
        <v>45460</v>
      </c>
      <c r="B4">
        <v>104794</v>
      </c>
      <c r="C4">
        <v>1132025</v>
      </c>
    </row>
    <row r="5" spans="1:3" x14ac:dyDescent="0.25">
      <c r="A5" s="3">
        <v>45467</v>
      </c>
      <c r="B5">
        <v>81748</v>
      </c>
      <c r="C5">
        <v>786564</v>
      </c>
    </row>
    <row r="6" spans="1:3" x14ac:dyDescent="0.25">
      <c r="A6" s="3">
        <v>45474</v>
      </c>
      <c r="B6">
        <v>87847</v>
      </c>
      <c r="C6">
        <v>1068450</v>
      </c>
    </row>
    <row r="7" spans="1:3" x14ac:dyDescent="0.25">
      <c r="A7" s="3">
        <v>45481</v>
      </c>
      <c r="B7">
        <v>79341</v>
      </c>
      <c r="C7">
        <v>933421</v>
      </c>
    </row>
    <row r="8" spans="1:3" x14ac:dyDescent="0.25">
      <c r="A8" s="3">
        <v>45488</v>
      </c>
      <c r="B8">
        <v>115027</v>
      </c>
      <c r="C8">
        <v>871480</v>
      </c>
    </row>
    <row r="9" spans="1:3" x14ac:dyDescent="0.25">
      <c r="A9" s="3">
        <v>45495</v>
      </c>
      <c r="B9">
        <v>102610</v>
      </c>
      <c r="C9">
        <v>1273686</v>
      </c>
    </row>
    <row r="10" spans="1:3" x14ac:dyDescent="0.25">
      <c r="A10" s="3">
        <v>45502</v>
      </c>
      <c r="B10">
        <v>76268</v>
      </c>
      <c r="C10">
        <v>808771</v>
      </c>
    </row>
    <row r="11" spans="1:3" x14ac:dyDescent="0.25">
      <c r="A11" s="3">
        <v>45509</v>
      </c>
      <c r="B11">
        <v>137514</v>
      </c>
      <c r="C11">
        <v>1333646</v>
      </c>
    </row>
    <row r="12" spans="1:3" x14ac:dyDescent="0.25">
      <c r="A12" s="3">
        <v>45516</v>
      </c>
      <c r="B12">
        <v>125177</v>
      </c>
      <c r="C12">
        <v>1333725</v>
      </c>
    </row>
    <row r="13" spans="1:3" x14ac:dyDescent="0.25">
      <c r="A13" s="3">
        <v>45523</v>
      </c>
      <c r="B13">
        <v>82193</v>
      </c>
      <c r="C13">
        <v>785466</v>
      </c>
    </row>
    <row r="14" spans="1:3" x14ac:dyDescent="0.25">
      <c r="A14" s="3">
        <v>45530</v>
      </c>
      <c r="B14">
        <v>94709</v>
      </c>
      <c r="C14">
        <v>1258677</v>
      </c>
    </row>
    <row r="15" spans="1:3" x14ac:dyDescent="0.25">
      <c r="A15" s="3">
        <v>45537</v>
      </c>
      <c r="B15">
        <v>100656</v>
      </c>
      <c r="C15">
        <v>1288064</v>
      </c>
    </row>
    <row r="16" spans="1:3" x14ac:dyDescent="0.25">
      <c r="A16" s="3">
        <v>45544</v>
      </c>
      <c r="B16">
        <v>92834</v>
      </c>
      <c r="C16">
        <v>1184208</v>
      </c>
    </row>
    <row r="17" spans="1:3" x14ac:dyDescent="0.25">
      <c r="A17" s="3">
        <v>45551</v>
      </c>
      <c r="B17">
        <v>105113</v>
      </c>
      <c r="C17">
        <v>1037244</v>
      </c>
    </row>
    <row r="18" spans="1:3" x14ac:dyDescent="0.25">
      <c r="A18" s="3">
        <v>45558</v>
      </c>
      <c r="B18">
        <v>75885</v>
      </c>
      <c r="C18">
        <v>994071</v>
      </c>
    </row>
    <row r="19" spans="1:3" x14ac:dyDescent="0.25">
      <c r="A19" s="3">
        <v>45565</v>
      </c>
      <c r="B19">
        <v>81889</v>
      </c>
      <c r="C19">
        <v>982958</v>
      </c>
    </row>
    <row r="20" spans="1:3" x14ac:dyDescent="0.25">
      <c r="A20" s="3">
        <v>45572</v>
      </c>
      <c r="B20">
        <v>117382</v>
      </c>
      <c r="C20">
        <v>1160799</v>
      </c>
    </row>
    <row r="21" spans="1:3" x14ac:dyDescent="0.25">
      <c r="A21" s="3">
        <v>45579</v>
      </c>
      <c r="B21">
        <v>83598</v>
      </c>
      <c r="C21">
        <v>1055104</v>
      </c>
    </row>
    <row r="22" spans="1:3" x14ac:dyDescent="0.25">
      <c r="A22" s="3">
        <v>45586</v>
      </c>
      <c r="B22">
        <v>140831</v>
      </c>
      <c r="C22">
        <v>895778</v>
      </c>
    </row>
    <row r="23" spans="1:3" x14ac:dyDescent="0.25">
      <c r="A23" s="3">
        <v>45593</v>
      </c>
      <c r="B23">
        <v>105800</v>
      </c>
      <c r="C23">
        <v>1102886</v>
      </c>
    </row>
    <row r="24" spans="1:3" x14ac:dyDescent="0.25">
      <c r="A24" s="3">
        <v>45600</v>
      </c>
      <c r="B24">
        <v>94018</v>
      </c>
      <c r="C24">
        <v>1072145</v>
      </c>
    </row>
    <row r="25" spans="1:3" x14ac:dyDescent="0.25">
      <c r="A25" s="3">
        <v>45607</v>
      </c>
      <c r="B25">
        <v>125961</v>
      </c>
      <c r="C25">
        <v>569274</v>
      </c>
    </row>
    <row r="26" spans="1:3" x14ac:dyDescent="0.25">
      <c r="A26" s="3">
        <v>45614</v>
      </c>
      <c r="B26">
        <v>97294</v>
      </c>
      <c r="C26">
        <v>1179152</v>
      </c>
    </row>
    <row r="27" spans="1:3" x14ac:dyDescent="0.25">
      <c r="A27" s="3">
        <v>45621</v>
      </c>
      <c r="B27">
        <v>107714</v>
      </c>
      <c r="C27">
        <v>770117</v>
      </c>
    </row>
    <row r="28" spans="1:3" x14ac:dyDescent="0.25">
      <c r="A28" s="3">
        <v>45628</v>
      </c>
      <c r="B28">
        <v>106549</v>
      </c>
      <c r="C28">
        <v>1423404</v>
      </c>
    </row>
    <row r="29" spans="1:3" x14ac:dyDescent="0.25">
      <c r="A29" s="3">
        <v>45635</v>
      </c>
      <c r="B29">
        <v>108811</v>
      </c>
      <c r="C29">
        <v>728959</v>
      </c>
    </row>
    <row r="30" spans="1:3" x14ac:dyDescent="0.25">
      <c r="A30" s="3">
        <v>45642</v>
      </c>
      <c r="B30">
        <v>102222</v>
      </c>
      <c r="C30">
        <v>1697452</v>
      </c>
    </row>
    <row r="31" spans="1:3" x14ac:dyDescent="0.25">
      <c r="A31" s="3">
        <v>45649</v>
      </c>
      <c r="B31">
        <v>101698</v>
      </c>
      <c r="C31">
        <v>480438</v>
      </c>
    </row>
    <row r="32" spans="1:3" x14ac:dyDescent="0.25">
      <c r="A32" s="3">
        <v>45656</v>
      </c>
      <c r="B32">
        <v>78502</v>
      </c>
      <c r="C32">
        <v>931911</v>
      </c>
    </row>
    <row r="33" spans="1:3" x14ac:dyDescent="0.25">
      <c r="A33" s="3">
        <v>45663</v>
      </c>
      <c r="B33">
        <v>72926</v>
      </c>
      <c r="C33">
        <v>1028676</v>
      </c>
    </row>
    <row r="34" spans="1:3" x14ac:dyDescent="0.25">
      <c r="A34" s="3">
        <v>45670</v>
      </c>
      <c r="B34">
        <v>113474</v>
      </c>
      <c r="C34">
        <v>1076445</v>
      </c>
    </row>
    <row r="35" spans="1:3" x14ac:dyDescent="0.25">
      <c r="A35" s="3">
        <v>45677</v>
      </c>
      <c r="B35">
        <v>120060</v>
      </c>
      <c r="C35">
        <v>1324524</v>
      </c>
    </row>
    <row r="36" spans="1:3" x14ac:dyDescent="0.25">
      <c r="A36" s="3">
        <v>45684</v>
      </c>
      <c r="B36">
        <v>109203</v>
      </c>
      <c r="C36">
        <v>1402810</v>
      </c>
    </row>
    <row r="37" spans="1:3" x14ac:dyDescent="0.25">
      <c r="A37" s="3">
        <v>45691</v>
      </c>
      <c r="B37">
        <v>117419</v>
      </c>
      <c r="C37">
        <v>935863</v>
      </c>
    </row>
    <row r="38" spans="1:3" x14ac:dyDescent="0.25">
      <c r="A38" s="3">
        <v>45698</v>
      </c>
      <c r="B38">
        <v>94129</v>
      </c>
      <c r="C38">
        <v>1143902</v>
      </c>
    </row>
    <row r="39" spans="1:3" x14ac:dyDescent="0.25">
      <c r="A39" s="3">
        <v>45705</v>
      </c>
      <c r="B39">
        <v>136582</v>
      </c>
      <c r="C39">
        <v>809798</v>
      </c>
    </row>
    <row r="40" spans="1:3" x14ac:dyDescent="0.25">
      <c r="A40" s="3">
        <v>45712</v>
      </c>
      <c r="B40">
        <v>120234</v>
      </c>
      <c r="C40">
        <v>1138218</v>
      </c>
    </row>
    <row r="41" spans="1:3" x14ac:dyDescent="0.25">
      <c r="A41" s="3">
        <v>45719</v>
      </c>
      <c r="B41">
        <v>95341</v>
      </c>
      <c r="C41">
        <v>1315569</v>
      </c>
    </row>
    <row r="42" spans="1:3" x14ac:dyDescent="0.25">
      <c r="A42" s="3">
        <v>45726</v>
      </c>
      <c r="B42">
        <v>53940</v>
      </c>
      <c r="C42">
        <v>913852</v>
      </c>
    </row>
    <row r="43" spans="1:3" x14ac:dyDescent="0.25">
      <c r="A43" s="3">
        <v>45733</v>
      </c>
      <c r="B43">
        <v>88465</v>
      </c>
      <c r="C43">
        <v>782286</v>
      </c>
    </row>
    <row r="44" spans="1:3" x14ac:dyDescent="0.25">
      <c r="A44" s="3">
        <v>45740</v>
      </c>
      <c r="B44">
        <v>111650</v>
      </c>
      <c r="C44">
        <v>1391437</v>
      </c>
    </row>
    <row r="45" spans="1:3" x14ac:dyDescent="0.25">
      <c r="A45" s="3">
        <v>45747</v>
      </c>
      <c r="B45">
        <v>74375</v>
      </c>
      <c r="C45">
        <v>1286926</v>
      </c>
    </row>
    <row r="46" spans="1:3" x14ac:dyDescent="0.25">
      <c r="A46" s="3">
        <v>45754</v>
      </c>
      <c r="B46">
        <v>132926</v>
      </c>
      <c r="C46">
        <v>497328</v>
      </c>
    </row>
    <row r="47" spans="1:3" x14ac:dyDescent="0.25">
      <c r="A47" s="3">
        <v>45761</v>
      </c>
      <c r="B47">
        <v>59981</v>
      </c>
      <c r="C47">
        <v>649421</v>
      </c>
    </row>
    <row r="48" spans="1:3" x14ac:dyDescent="0.25">
      <c r="A48" s="3">
        <v>45768</v>
      </c>
      <c r="B48">
        <v>49129</v>
      </c>
      <c r="C48">
        <v>1045133</v>
      </c>
    </row>
    <row r="49" spans="1:3" x14ac:dyDescent="0.25">
      <c r="A49" s="3">
        <v>45775</v>
      </c>
      <c r="B49">
        <v>57130</v>
      </c>
      <c r="C49">
        <v>1169498</v>
      </c>
    </row>
    <row r="50" spans="1:3" x14ac:dyDescent="0.25">
      <c r="A50" s="3">
        <v>45782</v>
      </c>
      <c r="B50">
        <v>105490</v>
      </c>
      <c r="C50">
        <v>1499439</v>
      </c>
    </row>
    <row r="51" spans="1:3" x14ac:dyDescent="0.25">
      <c r="A51" s="3">
        <v>45789</v>
      </c>
      <c r="B51">
        <v>85623</v>
      </c>
      <c r="C51">
        <v>1371977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91140F-59E0-4CDD-BEEC-084DC6C6F5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Engagment Summary</vt:lpstr>
      <vt:lpstr>WeeklyFollower</vt:lpstr>
      <vt:lpstr>peek week</vt:lpstr>
      <vt:lpstr>Moving_avg</vt:lpstr>
      <vt:lpstr>ScatterPlot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 mahato</dc:creator>
  <cp:lastModifiedBy>amit kumar mahato</cp:lastModifiedBy>
  <dcterms:created xsi:type="dcterms:W3CDTF">2025-12-17T10:53:07Z</dcterms:created>
  <dcterms:modified xsi:type="dcterms:W3CDTF">2025-12-18T13:57:29Z</dcterms:modified>
</cp:coreProperties>
</file>