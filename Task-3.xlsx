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\excel project\Notion\"/>
    </mc:Choice>
  </mc:AlternateContent>
  <xr:revisionPtr revIDLastSave="0" documentId="13_ncr:1_{88CED508-E7B1-44E7-971D-9729812799D2}" xr6:coauthVersionLast="47" xr6:coauthVersionMax="47" xr10:uidLastSave="{00000000-0000-0000-0000-000000000000}"/>
  <bookViews>
    <workbookView xWindow="-120" yWindow="-120" windowWidth="20730" windowHeight="11160" activeTab="1" xr2:uid="{9D31FA2F-288F-464D-AABE-24E68F03E6E5}"/>
  </bookViews>
  <sheets>
    <sheet name="Engagment Summary" sheetId="2" r:id="rId1"/>
    <sheet name="high_Engagement" sheetId="5" r:id="rId2"/>
    <sheet name="Follower_growth" sheetId="10" r:id="rId3"/>
    <sheet name="scatter chart" sheetId="11" r:id="rId4"/>
  </sheets>
  <definedNames>
    <definedName name="ExternalData_1" localSheetId="0" hidden="1">'Engagment Summary'!$A$1:$G$201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1" l="1"/>
  <c r="C4" i="11"/>
  <c r="C3" i="11"/>
  <c r="C2" i="11"/>
  <c r="B5" i="11"/>
  <c r="B4" i="11"/>
  <c r="B3" i="11"/>
  <c r="B2" i="11"/>
  <c r="D5" i="10"/>
  <c r="D6" i="10"/>
  <c r="D7" i="10"/>
  <c r="D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11458-FF5F-4E48-9C56-FC3FB87029EA}" keepAlive="1" name="Query - Campaign Data" description="Connection to the 'Campaign Data' query in the workbook." type="5" refreshedVersion="8" background="1" saveData="1">
    <dbPr connection="Provider=Microsoft.Mashup.OleDb.1;Data Source=$Workbook$;Location=&quot;Campaign Data&quot;;Extended Properties=&quot;&quot;" command="SELECT * FROM [Campaign Data]"/>
  </connection>
  <connection id="2" xr16:uid="{8C1A665B-640F-441A-8602-3075A413B988}" keepAlive="1" name="Query - Engagment Summary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3" xr16:uid="{D00FD287-4592-464A-A7FD-2DD4B75128FF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</connections>
</file>

<file path=xl/sharedStrings.xml><?xml version="1.0" encoding="utf-8"?>
<sst xmlns="http://schemas.openxmlformats.org/spreadsheetml/2006/main" count="236" uniqueCount="26">
  <si>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</si>
  <si>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</si>
  <si>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</si>
  <si>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</si>
  <si>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</si>
  <si>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</si>
  <si>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</si>
  <si>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</si>
  <si>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Facebook</t>
  </si>
  <si>
    <t>Twitter</t>
  </si>
  <si>
    <t>YouTube</t>
  </si>
  <si>
    <t>Row Labels</t>
  </si>
  <si>
    <t>Average of Engagement_Rate</t>
  </si>
  <si>
    <t>Instagram has the highest Engagement rate.</t>
  </si>
  <si>
    <t>Max of Total_Followers</t>
  </si>
  <si>
    <t>Min of Total_Followers</t>
  </si>
  <si>
    <t>Follower_growth</t>
  </si>
  <si>
    <t>Formula Used:
Follower growth =max-min</t>
  </si>
  <si>
    <t>youtube has highest follower growth  among all Platform.</t>
  </si>
  <si>
    <t>Avg Engagement Rate</t>
  </si>
  <si>
    <t>Total ad spend</t>
  </si>
  <si>
    <t>Formula Used:
AVERAGEIF(),SUMIF()</t>
  </si>
  <si>
    <t>Instagram has high engagement with moderate spend</t>
  </si>
  <si>
    <t>Facebook has moderate engagemet with High spend</t>
  </si>
  <si>
    <t>The Engagement vs Ad Spend analysis indicates that Instagram delivers superior engagement efficiency, whereas Facebook requires higher spend to generate comparatively lower engagement.</t>
  </si>
  <si>
    <t>Myntra should maintain a multi-platform strategy with platform-specific content optimization rather than concentrating on only two platforms.”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</si>
</sst>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2" borderId="0" xfId="0" applyFont="1" applyFill="1" applyAlignment="1">
      <alignment wrapText="1"/>
    </xf>
    <xf numFmtId="0" fontId="2" fillId="3" borderId="0" xfId="0" applyFont="1" applyFill="1"/>
    <xf numFmtId="2" fontId="0" fillId="0" borderId="0" xfId="0" applyNumberFormat="1"/>
    <xf numFmtId="0" fontId="2" fillId="0" borderId="0" xfId="0" applyFont="1" applyAlignment="1">
      <alignment horizontal="left" vertical="center" indent="1"/>
    </xf>
    <xf numFmtId="0" fontId="0" fillId="0" borderId="0" xfId="0" applyNumberFormat="1"/>
    <xf numFmtId="0" fontId="0" fillId="2" borderId="0" xfId="0" applyFill="1" applyAlignment="1">
      <alignment wrapText="1"/>
    </xf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98580484116486E-2"/>
          <c:y val="0.23143296747284639"/>
          <c:w val="0.88162227715789054"/>
          <c:h val="0.60552859156221595"/>
        </c:manualLayout>
      </c:layout>
      <c:scatterChart>
        <c:scatterStyle val="lineMarker"/>
        <c:varyColors val="0"/>
        <c:ser>
          <c:idx val="0"/>
          <c:order val="0"/>
          <c:tx>
            <c:strRef>
              <c:f>'scatter chart'!$C$1</c:f>
              <c:strCache>
                <c:ptCount val="1"/>
                <c:pt idx="0">
                  <c:v>Total ad spend</c:v>
                </c:pt>
              </c:strCache>
            </c:strRef>
          </c:tx>
          <c:spPr>
            <a:ln w="381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'scatter chart'!$C$2:$C$5</c:f>
              <c:numCache>
                <c:formatCode>General</c:formatCode>
                <c:ptCount val="4"/>
                <c:pt idx="0">
                  <c:v>1164373</c:v>
                </c:pt>
                <c:pt idx="1">
                  <c:v>1379539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xVal>
          <c:yVal>
            <c:numRef>
              <c:f>'scatter chart'!$B$2:$B$5</c:f>
              <c:numCache>
                <c:formatCode>0.00</c:formatCode>
                <c:ptCount val="4"/>
                <c:pt idx="0">
                  <c:v>5.7156000000000002</c:v>
                </c:pt>
                <c:pt idx="1">
                  <c:v>5.6486000000000001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08-4187-9AE9-47652596A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282943"/>
        <c:axId val="1551287743"/>
      </c:scatterChart>
      <c:valAx>
        <c:axId val="155128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</a:t>
                </a:r>
                <a:r>
                  <a:rPr lang="en-IN" baseline="0"/>
                  <a:t>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287743"/>
        <c:crosses val="autoZero"/>
        <c:crossBetween val="midCat"/>
      </c:valAx>
      <c:valAx>
        <c:axId val="155128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Avg En gagement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282943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5</xdr:row>
      <xdr:rowOff>90486</xdr:rowOff>
    </xdr:from>
    <xdr:to>
      <xdr:col>8</xdr:col>
      <xdr:colOff>114300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6E9FF-84DE-F2BF-DEB6-4FB9C47A2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0.66438</cdr:x>
      <cdr:y>0.21986</cdr:y>
    </cdr:from>
    <cdr:to>
      <cdr:x>0.76027</cdr:x>
      <cdr:y>0.47163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667F862-EEEA-2392-4699-49DDD4AC8FD4}"/>
            </a:ext>
          </a:extLst>
        </cdr:cNvPr>
        <cdr:cNvSpPr txBox="1"/>
      </cdr:nvSpPr>
      <cdr:spPr>
        <a:xfrm xmlns:a="http://schemas.openxmlformats.org/drawingml/2006/main">
          <a:off x="5543550" y="738188"/>
          <a:ext cx="800101" cy="8453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/>
            <a:t>Instagram</a:t>
          </a:r>
        </a:p>
      </cdr:txBody>
    </cdr:sp>
  </cdr:relSizeAnchor>
  <cdr:relSizeAnchor xmlns:cdr="http://schemas.openxmlformats.org/drawingml/2006/chartDrawing">
    <cdr:from>
      <cdr:x>0.62443</cdr:x>
      <cdr:y>0.39787</cdr:y>
    </cdr:from>
    <cdr:to>
      <cdr:x>0.73402</cdr:x>
      <cdr:y>0.67021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C0B4155-E0B3-9A49-878A-DFFFC26E11D4}"/>
            </a:ext>
          </a:extLst>
        </cdr:cNvPr>
        <cdr:cNvSpPr txBox="1"/>
      </cdr:nvSpPr>
      <cdr:spPr>
        <a:xfrm xmlns:a="http://schemas.openxmlformats.org/drawingml/2006/main">
          <a:off x="5210175" y="133588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/>
            <a:t>Twitter</a:t>
          </a:r>
        </a:p>
      </cdr:txBody>
    </cdr:sp>
  </cdr:relSizeAnchor>
  <cdr:relSizeAnchor xmlns:cdr="http://schemas.openxmlformats.org/drawingml/2006/chartDrawing">
    <cdr:from>
      <cdr:x>0.71233</cdr:x>
      <cdr:y>0.68723</cdr:y>
    </cdr:from>
    <cdr:to>
      <cdr:x>0.82192</cdr:x>
      <cdr:y>0.95957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3BDF123-AB3F-4C93-C5E0-B69EEAF78A59}"/>
            </a:ext>
          </a:extLst>
        </cdr:cNvPr>
        <cdr:cNvSpPr txBox="1"/>
      </cdr:nvSpPr>
      <cdr:spPr>
        <a:xfrm xmlns:a="http://schemas.openxmlformats.org/drawingml/2006/main">
          <a:off x="5943600" y="230743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/>
            <a:t>YouTube</a:t>
          </a:r>
        </a:p>
      </cdr:txBody>
    </cdr:sp>
  </cdr:relSizeAnchor>
  <cdr:relSizeAnchor xmlns:cdr="http://schemas.openxmlformats.org/drawingml/2006/chartDrawing">
    <cdr:from>
      <cdr:x>0.78767</cdr:x>
      <cdr:y>0.4234</cdr:y>
    </cdr:from>
    <cdr:to>
      <cdr:x>0.89726</cdr:x>
      <cdr:y>0.69574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67D1F24-7EE6-7820-69D0-B6342A13DEF9}"/>
            </a:ext>
          </a:extLst>
        </cdr:cNvPr>
        <cdr:cNvSpPr txBox="1"/>
      </cdr:nvSpPr>
      <cdr:spPr>
        <a:xfrm xmlns:a="http://schemas.openxmlformats.org/drawingml/2006/main">
          <a:off x="6572250" y="142160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kern="1200"/>
            <a:t>Facebook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UMAR" refreshedDate="46008.730185995373" createdVersion="8" refreshedVersion="8" minRefreshableVersion="3" recordCount="200" xr:uid="{735E4917-DA47-4C74-A5EA-D299A6AD10B9}">
  <cacheSource type="worksheet">
    <worksheetSource name="Engagment_Summary"/>
  </cacheSource>
  <cacheFields count="10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9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</r>
  <r>
    <x v="0"/>
    <x v="1"/>
    <n v="1312"/>
    <n v="310"/>
    <n v="42654"/>
    <n v="4.9800000000000004"/>
    <n v="9566"/>
  </r>
  <r>
    <x v="0"/>
    <x v="2"/>
    <n v="584"/>
    <n v="169"/>
    <n v="146834"/>
    <n v="8.31"/>
    <n v="26752"/>
  </r>
  <r>
    <x v="0"/>
    <x v="3"/>
    <n v="1535"/>
    <n v="445"/>
    <n v="395536"/>
    <n v="4.1100000000000003"/>
    <n v="30671"/>
  </r>
  <r>
    <x v="1"/>
    <x v="0"/>
    <n v="656"/>
    <n v="139"/>
    <n v="49157"/>
    <n v="9.0500000000000007"/>
    <n v="9920"/>
  </r>
  <r>
    <x v="1"/>
    <x v="1"/>
    <n v="1697"/>
    <n v="414"/>
    <n v="316555"/>
    <n v="2.37"/>
    <n v="7924"/>
  </r>
  <r>
    <x v="1"/>
    <x v="2"/>
    <n v="436"/>
    <n v="250"/>
    <n v="254347"/>
    <n v="4.01"/>
    <n v="8912"/>
  </r>
  <r>
    <x v="1"/>
    <x v="3"/>
    <n v="1197"/>
    <n v="203"/>
    <n v="413878"/>
    <n v="3.16"/>
    <n v="21205"/>
  </r>
  <r>
    <x v="2"/>
    <x v="0"/>
    <n v="1048"/>
    <n v="155"/>
    <n v="456946"/>
    <n v="2.46"/>
    <n v="11329"/>
  </r>
  <r>
    <x v="2"/>
    <x v="1"/>
    <n v="1753"/>
    <n v="371"/>
    <n v="169496"/>
    <n v="8.11"/>
    <n v="46670"/>
  </r>
  <r>
    <x v="2"/>
    <x v="2"/>
    <n v="1335"/>
    <n v="40"/>
    <n v="122732"/>
    <n v="8.19"/>
    <n v="22482"/>
  </r>
  <r>
    <x v="2"/>
    <x v="3"/>
    <n v="403"/>
    <n v="66"/>
    <n v="382851"/>
    <n v="3.49"/>
    <n v="24313"/>
  </r>
  <r>
    <x v="3"/>
    <x v="0"/>
    <n v="911"/>
    <n v="282"/>
    <n v="35664"/>
    <n v="6.92"/>
    <n v="18050"/>
  </r>
  <r>
    <x v="3"/>
    <x v="1"/>
    <n v="1779"/>
    <n v="109"/>
    <n v="26295"/>
    <n v="9.1199999999999992"/>
    <n v="30635"/>
  </r>
  <r>
    <x v="3"/>
    <x v="2"/>
    <n v="1238"/>
    <n v="403"/>
    <n v="298421"/>
    <n v="3.5"/>
    <n v="31280"/>
  </r>
  <r>
    <x v="3"/>
    <x v="3"/>
    <n v="308"/>
    <n v="431"/>
    <n v="426184"/>
    <n v="2.62"/>
    <n v="1783"/>
  </r>
  <r>
    <x v="4"/>
    <x v="0"/>
    <n v="226"/>
    <n v="445"/>
    <n v="419447"/>
    <n v="9.36"/>
    <n v="9566"/>
  </r>
  <r>
    <x v="4"/>
    <x v="1"/>
    <n v="505"/>
    <n v="441"/>
    <n v="220020"/>
    <n v="4.4800000000000004"/>
    <n v="42307"/>
  </r>
  <r>
    <x v="4"/>
    <x v="2"/>
    <n v="1420"/>
    <n v="63"/>
    <n v="315305"/>
    <n v="6.19"/>
    <n v="5914"/>
  </r>
  <r>
    <x v="4"/>
    <x v="3"/>
    <n v="144"/>
    <n v="53"/>
    <n v="113678"/>
    <n v="8.7200000000000006"/>
    <n v="30060"/>
  </r>
  <r>
    <x v="5"/>
    <x v="0"/>
    <n v="1757"/>
    <n v="85"/>
    <n v="58223"/>
    <n v="8.74"/>
    <n v="22728"/>
  </r>
  <r>
    <x v="5"/>
    <x v="1"/>
    <n v="350"/>
    <n v="41"/>
    <n v="251694"/>
    <n v="1.91"/>
    <n v="38610"/>
  </r>
  <r>
    <x v="5"/>
    <x v="2"/>
    <n v="987"/>
    <n v="440"/>
    <n v="389810"/>
    <n v="4.66"/>
    <n v="2932"/>
  </r>
  <r>
    <x v="5"/>
    <x v="3"/>
    <n v="883"/>
    <n v="369"/>
    <n v="233694"/>
    <n v="2.88"/>
    <n v="15071"/>
  </r>
  <r>
    <x v="6"/>
    <x v="0"/>
    <n v="1960"/>
    <n v="115"/>
    <n v="154169"/>
    <n v="3.74"/>
    <n v="10740"/>
  </r>
  <r>
    <x v="6"/>
    <x v="1"/>
    <n v="170"/>
    <n v="334"/>
    <n v="334626"/>
    <n v="6.44"/>
    <n v="43420"/>
  </r>
  <r>
    <x v="6"/>
    <x v="2"/>
    <n v="704"/>
    <n v="275"/>
    <n v="226002"/>
    <n v="8.56"/>
    <n v="32393"/>
  </r>
  <r>
    <x v="6"/>
    <x v="3"/>
    <n v="224"/>
    <n v="64"/>
    <n v="156683"/>
    <n v="4.5599999999999996"/>
    <n v="28474"/>
  </r>
  <r>
    <x v="7"/>
    <x v="0"/>
    <n v="508"/>
    <n v="349"/>
    <n v="473812"/>
    <n v="7.88"/>
    <n v="17328"/>
  </r>
  <r>
    <x v="7"/>
    <x v="1"/>
    <n v="1391"/>
    <n v="430"/>
    <n v="295032"/>
    <n v="7.86"/>
    <n v="26067"/>
  </r>
  <r>
    <x v="7"/>
    <x v="2"/>
    <n v="1701"/>
    <n v="385"/>
    <n v="198278"/>
    <n v="5.34"/>
    <n v="32763"/>
  </r>
  <r>
    <x v="7"/>
    <x v="3"/>
    <n v="804"/>
    <n v="487"/>
    <n v="306564"/>
    <n v="5.52"/>
    <n v="26452"/>
  </r>
  <r>
    <x v="8"/>
    <x v="0"/>
    <n v="653"/>
    <n v="112"/>
    <n v="23664"/>
    <n v="4.05"/>
    <n v="15353"/>
  </r>
  <r>
    <x v="8"/>
    <x v="1"/>
    <n v="160"/>
    <n v="478"/>
    <n v="435034"/>
    <n v="7.73"/>
    <n v="4839"/>
  </r>
  <r>
    <x v="8"/>
    <x v="2"/>
    <n v="1756"/>
    <n v="261"/>
    <n v="287574"/>
    <n v="4.3600000000000003"/>
    <n v="39272"/>
  </r>
  <r>
    <x v="8"/>
    <x v="3"/>
    <n v="576"/>
    <n v="101"/>
    <n v="62499"/>
    <n v="3.48"/>
    <n v="16804"/>
  </r>
  <r>
    <x v="9"/>
    <x v="0"/>
    <n v="645"/>
    <n v="293"/>
    <n v="437968"/>
    <n v="7.83"/>
    <n v="49303"/>
  </r>
  <r>
    <x v="9"/>
    <x v="1"/>
    <n v="214"/>
    <n v="411"/>
    <n v="125034"/>
    <n v="6.11"/>
    <n v="26455"/>
  </r>
  <r>
    <x v="9"/>
    <x v="2"/>
    <n v="826"/>
    <n v="498"/>
    <n v="449994"/>
    <n v="9.43"/>
    <n v="12384"/>
  </r>
  <r>
    <x v="9"/>
    <x v="3"/>
    <n v="460"/>
    <n v="141"/>
    <n v="320650"/>
    <n v="4.04"/>
    <n v="49372"/>
  </r>
  <r>
    <x v="10"/>
    <x v="0"/>
    <n v="1528"/>
    <n v="203"/>
    <n v="489188"/>
    <n v="6.23"/>
    <n v="47101"/>
  </r>
  <r>
    <x v="10"/>
    <x v="1"/>
    <n v="1534"/>
    <n v="200"/>
    <n v="307612"/>
    <n v="6.01"/>
    <n v="37903"/>
  </r>
  <r>
    <x v="10"/>
    <x v="2"/>
    <n v="485"/>
    <n v="448"/>
    <n v="434883"/>
    <n v="8.5500000000000007"/>
    <n v="33258"/>
  </r>
  <r>
    <x v="10"/>
    <x v="3"/>
    <n v="1210"/>
    <n v="178"/>
    <n v="102042"/>
    <n v="5.42"/>
    <n v="6915"/>
  </r>
  <r>
    <x v="11"/>
    <x v="0"/>
    <n v="215"/>
    <n v="139"/>
    <n v="325444"/>
    <n v="3.25"/>
    <n v="35501"/>
  </r>
  <r>
    <x v="11"/>
    <x v="1"/>
    <n v="1078"/>
    <n v="20"/>
    <n v="183924"/>
    <n v="8.84"/>
    <n v="14203"/>
  </r>
  <r>
    <x v="11"/>
    <x v="2"/>
    <n v="1751"/>
    <n v="86"/>
    <n v="188655"/>
    <n v="7.24"/>
    <n v="22206"/>
  </r>
  <r>
    <x v="11"/>
    <x v="3"/>
    <n v="221"/>
    <n v="31"/>
    <n v="87443"/>
    <n v="6.19"/>
    <n v="10283"/>
  </r>
  <r>
    <x v="12"/>
    <x v="0"/>
    <n v="1685"/>
    <n v="76"/>
    <n v="453799"/>
    <n v="5.71"/>
    <n v="24913"/>
  </r>
  <r>
    <x v="12"/>
    <x v="1"/>
    <n v="248"/>
    <n v="211"/>
    <n v="379380"/>
    <n v="9.0399999999999991"/>
    <n v="26925"/>
  </r>
  <r>
    <x v="12"/>
    <x v="2"/>
    <n v="1300"/>
    <n v="71"/>
    <n v="186454"/>
    <n v="3.91"/>
    <n v="9942"/>
  </r>
  <r>
    <x v="12"/>
    <x v="3"/>
    <n v="422"/>
    <n v="394"/>
    <n v="239044"/>
    <n v="7.83"/>
    <n v="32929"/>
  </r>
  <r>
    <x v="13"/>
    <x v="0"/>
    <n v="1429"/>
    <n v="182"/>
    <n v="101332"/>
    <n v="7.16"/>
    <n v="37829"/>
  </r>
  <r>
    <x v="13"/>
    <x v="1"/>
    <n v="1520"/>
    <n v="475"/>
    <n v="496982"/>
    <n v="6.41"/>
    <n v="24384"/>
  </r>
  <r>
    <x v="13"/>
    <x v="2"/>
    <n v="557"/>
    <n v="360"/>
    <n v="318779"/>
    <n v="8.02"/>
    <n v="25797"/>
  </r>
  <r>
    <x v="13"/>
    <x v="3"/>
    <n v="728"/>
    <n v="395"/>
    <n v="370971"/>
    <n v="3.86"/>
    <n v="12646"/>
  </r>
  <r>
    <x v="14"/>
    <x v="0"/>
    <n v="1592"/>
    <n v="20"/>
    <n v="378054"/>
    <n v="9.09"/>
    <n v="26663"/>
  </r>
  <r>
    <x v="14"/>
    <x v="1"/>
    <n v="1842"/>
    <n v="414"/>
    <n v="307524"/>
    <n v="1.76"/>
    <n v="40478"/>
  </r>
  <r>
    <x v="14"/>
    <x v="2"/>
    <n v="751"/>
    <n v="491"/>
    <n v="434047"/>
    <n v="9.24"/>
    <n v="15476"/>
  </r>
  <r>
    <x v="14"/>
    <x v="3"/>
    <n v="1409"/>
    <n v="309"/>
    <n v="64583"/>
    <n v="8.99"/>
    <n v="10217"/>
  </r>
  <r>
    <x v="15"/>
    <x v="0"/>
    <n v="778"/>
    <n v="401"/>
    <n v="50793"/>
    <n v="3.4"/>
    <n v="21939"/>
  </r>
  <r>
    <x v="15"/>
    <x v="1"/>
    <n v="443"/>
    <n v="345"/>
    <n v="474162"/>
    <n v="9.1999999999999993"/>
    <n v="47462"/>
  </r>
  <r>
    <x v="15"/>
    <x v="2"/>
    <n v="1472"/>
    <n v="347"/>
    <n v="392355"/>
    <n v="8.59"/>
    <n v="30270"/>
  </r>
  <r>
    <x v="15"/>
    <x v="3"/>
    <n v="123"/>
    <n v="155"/>
    <n v="119934"/>
    <n v="3.5"/>
    <n v="5442"/>
  </r>
  <r>
    <x v="16"/>
    <x v="0"/>
    <n v="817"/>
    <n v="151"/>
    <n v="422625"/>
    <n v="2.36"/>
    <n v="1083"/>
  </r>
  <r>
    <x v="16"/>
    <x v="1"/>
    <n v="198"/>
    <n v="217"/>
    <n v="239753"/>
    <n v="7.36"/>
    <n v="11901"/>
  </r>
  <r>
    <x v="16"/>
    <x v="2"/>
    <n v="1911"/>
    <n v="231"/>
    <n v="268516"/>
    <n v="8.5500000000000007"/>
    <n v="24018"/>
  </r>
  <r>
    <x v="16"/>
    <x v="3"/>
    <n v="1218"/>
    <n v="212"/>
    <n v="63177"/>
    <n v="8.1300000000000008"/>
    <n v="38883"/>
  </r>
  <r>
    <x v="17"/>
    <x v="0"/>
    <n v="1433"/>
    <n v="408"/>
    <n v="370269"/>
    <n v="3.3"/>
    <n v="30575"/>
  </r>
  <r>
    <x v="17"/>
    <x v="1"/>
    <n v="250"/>
    <n v="429"/>
    <n v="453423"/>
    <n v="1.77"/>
    <n v="2315"/>
  </r>
  <r>
    <x v="17"/>
    <x v="2"/>
    <n v="752"/>
    <n v="153"/>
    <n v="64906"/>
    <n v="2.09"/>
    <n v="12148"/>
  </r>
  <r>
    <x v="17"/>
    <x v="3"/>
    <n v="1918"/>
    <n v="212"/>
    <n v="94360"/>
    <n v="7.36"/>
    <n v="36851"/>
  </r>
  <r>
    <x v="18"/>
    <x v="0"/>
    <n v="1939"/>
    <n v="67"/>
    <n v="187183"/>
    <n v="6.25"/>
    <n v="41215"/>
  </r>
  <r>
    <x v="18"/>
    <x v="1"/>
    <n v="1929"/>
    <n v="267"/>
    <n v="379363"/>
    <n v="1.75"/>
    <n v="43836"/>
  </r>
  <r>
    <x v="18"/>
    <x v="2"/>
    <n v="437"/>
    <n v="330"/>
    <n v="476486"/>
    <n v="4.97"/>
    <n v="4509"/>
  </r>
  <r>
    <x v="18"/>
    <x v="3"/>
    <n v="307"/>
    <n v="189"/>
    <n v="117767"/>
    <n v="9.3000000000000007"/>
    <n v="27822"/>
  </r>
  <r>
    <x v="19"/>
    <x v="0"/>
    <n v="1527"/>
    <n v="303"/>
    <n v="388555"/>
    <n v="8.9"/>
    <n v="36397"/>
  </r>
  <r>
    <x v="19"/>
    <x v="1"/>
    <n v="643"/>
    <n v="358"/>
    <n v="157599"/>
    <n v="3.88"/>
    <n v="7285"/>
  </r>
  <r>
    <x v="19"/>
    <x v="2"/>
    <n v="201"/>
    <n v="221"/>
    <n v="309772"/>
    <n v="5.9"/>
    <n v="33174"/>
  </r>
  <r>
    <x v="19"/>
    <x v="3"/>
    <n v="414"/>
    <n v="47"/>
    <n v="199178"/>
    <n v="1.53"/>
    <n v="6742"/>
  </r>
  <r>
    <x v="20"/>
    <x v="0"/>
    <n v="703"/>
    <n v="441"/>
    <n v="357089"/>
    <n v="6.5"/>
    <n v="32478"/>
  </r>
  <r>
    <x v="20"/>
    <x v="1"/>
    <n v="508"/>
    <n v="69"/>
    <n v="23492"/>
    <n v="3.16"/>
    <n v="42824"/>
  </r>
  <r>
    <x v="20"/>
    <x v="2"/>
    <n v="697"/>
    <n v="61"/>
    <n v="258287"/>
    <n v="8.25"/>
    <n v="21208"/>
  </r>
  <r>
    <x v="20"/>
    <x v="3"/>
    <n v="1707"/>
    <n v="223"/>
    <n v="256910"/>
    <n v="5.41"/>
    <n v="44321"/>
  </r>
  <r>
    <x v="21"/>
    <x v="0"/>
    <n v="642"/>
    <n v="66"/>
    <n v="346522"/>
    <n v="5.85"/>
    <n v="13116"/>
  </r>
  <r>
    <x v="21"/>
    <x v="1"/>
    <n v="859"/>
    <n v="473"/>
    <n v="209987"/>
    <n v="4.46"/>
    <n v="30214"/>
  </r>
  <r>
    <x v="21"/>
    <x v="2"/>
    <n v="191"/>
    <n v="154"/>
    <n v="240550"/>
    <n v="5.22"/>
    <n v="15827"/>
  </r>
  <r>
    <x v="21"/>
    <x v="3"/>
    <n v="1814"/>
    <n v="157"/>
    <n v="305827"/>
    <n v="1.99"/>
    <n v="46643"/>
  </r>
  <r>
    <x v="22"/>
    <x v="0"/>
    <n v="1466"/>
    <n v="69"/>
    <n v="54935"/>
    <n v="6.85"/>
    <n v="36484"/>
  </r>
  <r>
    <x v="22"/>
    <x v="1"/>
    <n v="947"/>
    <n v="407"/>
    <n v="319186"/>
    <n v="3.32"/>
    <n v="4996"/>
  </r>
  <r>
    <x v="22"/>
    <x v="2"/>
    <n v="1821"/>
    <n v="218"/>
    <n v="439080"/>
    <n v="5.68"/>
    <n v="36095"/>
  </r>
  <r>
    <x v="22"/>
    <x v="3"/>
    <n v="1507"/>
    <n v="463"/>
    <n v="258944"/>
    <n v="6.08"/>
    <n v="16443"/>
  </r>
  <r>
    <x v="23"/>
    <x v="0"/>
    <n v="1075"/>
    <n v="173"/>
    <n v="51395"/>
    <n v="4.66"/>
    <n v="47812"/>
  </r>
  <r>
    <x v="23"/>
    <x v="1"/>
    <n v="171"/>
    <n v="277"/>
    <n v="309483"/>
    <n v="8.6999999999999993"/>
    <n v="38452"/>
  </r>
  <r>
    <x v="23"/>
    <x v="2"/>
    <n v="1487"/>
    <n v="337"/>
    <n v="87305"/>
    <n v="2.46"/>
    <n v="30428"/>
  </r>
  <r>
    <x v="23"/>
    <x v="3"/>
    <n v="454"/>
    <n v="105"/>
    <n v="121091"/>
    <n v="7.97"/>
    <n v="9269"/>
  </r>
  <r>
    <x v="24"/>
    <x v="0"/>
    <n v="187"/>
    <n v="236"/>
    <n v="51087"/>
    <n v="9.41"/>
    <n v="29533"/>
  </r>
  <r>
    <x v="24"/>
    <x v="1"/>
    <n v="513"/>
    <n v="441"/>
    <n v="338847"/>
    <n v="2.68"/>
    <n v="39997"/>
  </r>
  <r>
    <x v="24"/>
    <x v="2"/>
    <n v="628"/>
    <n v="183"/>
    <n v="487523"/>
    <n v="7.32"/>
    <n v="5391"/>
  </r>
  <r>
    <x v="24"/>
    <x v="3"/>
    <n v="278"/>
    <n v="218"/>
    <n v="301695"/>
    <n v="4.68"/>
    <n v="22373"/>
  </r>
  <r>
    <x v="25"/>
    <x v="0"/>
    <n v="1854"/>
    <n v="161"/>
    <n v="282466"/>
    <n v="5.17"/>
    <n v="1810"/>
  </r>
  <r>
    <x v="25"/>
    <x v="1"/>
    <n v="1710"/>
    <n v="378"/>
    <n v="336661"/>
    <n v="6.2"/>
    <n v="28498"/>
  </r>
  <r>
    <x v="25"/>
    <x v="2"/>
    <n v="330"/>
    <n v="232"/>
    <n v="88455"/>
    <n v="2.69"/>
    <n v="39530"/>
  </r>
  <r>
    <x v="25"/>
    <x v="3"/>
    <n v="1293"/>
    <n v="408"/>
    <n v="62535"/>
    <n v="8.9"/>
    <n v="37876"/>
  </r>
  <r>
    <x v="26"/>
    <x v="0"/>
    <n v="1696"/>
    <n v="71"/>
    <n v="421957"/>
    <n v="3.79"/>
    <n v="36103"/>
  </r>
  <r>
    <x v="26"/>
    <x v="1"/>
    <n v="1902"/>
    <n v="196"/>
    <n v="470269"/>
    <n v="4.79"/>
    <n v="26103"/>
  </r>
  <r>
    <x v="26"/>
    <x v="2"/>
    <n v="1441"/>
    <n v="268"/>
    <n v="309904"/>
    <n v="6.37"/>
    <n v="3455"/>
  </r>
  <r>
    <x v="26"/>
    <x v="3"/>
    <n v="452"/>
    <n v="161"/>
    <n v="221274"/>
    <n v="2.65"/>
    <n v="40888"/>
  </r>
  <r>
    <x v="27"/>
    <x v="0"/>
    <n v="1494"/>
    <n v="375"/>
    <n v="220616"/>
    <n v="1.81"/>
    <n v="22724"/>
  </r>
  <r>
    <x v="27"/>
    <x v="1"/>
    <n v="1514"/>
    <n v="141"/>
    <n v="35842"/>
    <n v="7.47"/>
    <n v="18601"/>
  </r>
  <r>
    <x v="27"/>
    <x v="2"/>
    <n v="1937"/>
    <n v="210"/>
    <n v="20607"/>
    <n v="4.2"/>
    <n v="20861"/>
  </r>
  <r>
    <x v="27"/>
    <x v="3"/>
    <n v="736"/>
    <n v="163"/>
    <n v="451894"/>
    <n v="5.43"/>
    <n v="46625"/>
  </r>
  <r>
    <x v="28"/>
    <x v="0"/>
    <n v="1502"/>
    <n v="70"/>
    <n v="465553"/>
    <n v="3.32"/>
    <n v="20692"/>
  </r>
  <r>
    <x v="28"/>
    <x v="1"/>
    <n v="1623"/>
    <n v="246"/>
    <n v="415815"/>
    <n v="8.11"/>
    <n v="18656"/>
  </r>
  <r>
    <x v="28"/>
    <x v="2"/>
    <n v="1592"/>
    <n v="233"/>
    <n v="327183"/>
    <n v="6.66"/>
    <n v="13316"/>
  </r>
  <r>
    <x v="28"/>
    <x v="3"/>
    <n v="1004"/>
    <n v="128"/>
    <n v="488901"/>
    <n v="8.09"/>
    <n v="49558"/>
  </r>
  <r>
    <x v="29"/>
    <x v="0"/>
    <n v="1092"/>
    <n v="408"/>
    <n v="280795"/>
    <n v="8.44"/>
    <n v="4683"/>
  </r>
  <r>
    <x v="29"/>
    <x v="1"/>
    <n v="1155"/>
    <n v="425"/>
    <n v="93347"/>
    <n v="2.02"/>
    <n v="47502"/>
  </r>
  <r>
    <x v="29"/>
    <x v="2"/>
    <n v="1137"/>
    <n v="226"/>
    <n v="81119"/>
    <n v="7.74"/>
    <n v="35359"/>
  </r>
  <r>
    <x v="29"/>
    <x v="3"/>
    <n v="1900"/>
    <n v="311"/>
    <n v="25177"/>
    <n v="2.89"/>
    <n v="14154"/>
  </r>
  <r>
    <x v="30"/>
    <x v="0"/>
    <n v="1814"/>
    <n v="49"/>
    <n v="140804"/>
    <n v="1.76"/>
    <n v="4313"/>
  </r>
  <r>
    <x v="30"/>
    <x v="1"/>
    <n v="1980"/>
    <n v="204"/>
    <n v="379431"/>
    <n v="3.09"/>
    <n v="25140"/>
  </r>
  <r>
    <x v="30"/>
    <x v="2"/>
    <n v="1786"/>
    <n v="257"/>
    <n v="274831"/>
    <n v="4.68"/>
    <n v="9118"/>
  </r>
  <r>
    <x v="30"/>
    <x v="3"/>
    <n v="1495"/>
    <n v="35"/>
    <n v="136845"/>
    <n v="4.4800000000000004"/>
    <n v="39931"/>
  </r>
  <r>
    <x v="31"/>
    <x v="0"/>
    <n v="1013"/>
    <n v="110"/>
    <n v="466382"/>
    <n v="5.3"/>
    <n v="37132"/>
  </r>
  <r>
    <x v="31"/>
    <x v="1"/>
    <n v="816"/>
    <n v="196"/>
    <n v="95728"/>
    <n v="8.1999999999999993"/>
    <n v="17951"/>
  </r>
  <r>
    <x v="31"/>
    <x v="2"/>
    <n v="1633"/>
    <n v="445"/>
    <n v="371156"/>
    <n v="2.2200000000000002"/>
    <n v="2798"/>
  </r>
  <r>
    <x v="31"/>
    <x v="3"/>
    <n v="891"/>
    <n v="45"/>
    <n v="95410"/>
    <n v="8.33"/>
    <n v="15045"/>
  </r>
  <r>
    <x v="32"/>
    <x v="0"/>
    <n v="1855"/>
    <n v="133"/>
    <n v="349413"/>
    <n v="3.3"/>
    <n v="14548"/>
  </r>
  <r>
    <x v="32"/>
    <x v="1"/>
    <n v="651"/>
    <n v="353"/>
    <n v="224699"/>
    <n v="5.61"/>
    <n v="45708"/>
  </r>
  <r>
    <x v="32"/>
    <x v="2"/>
    <n v="118"/>
    <n v="262"/>
    <n v="487896"/>
    <n v="2.56"/>
    <n v="12350"/>
  </r>
  <r>
    <x v="32"/>
    <x v="3"/>
    <n v="1331"/>
    <n v="430"/>
    <n v="14437"/>
    <n v="3.29"/>
    <n v="40868"/>
  </r>
  <r>
    <x v="33"/>
    <x v="0"/>
    <n v="1748"/>
    <n v="176"/>
    <n v="383681"/>
    <n v="9.24"/>
    <n v="43122"/>
  </r>
  <r>
    <x v="33"/>
    <x v="1"/>
    <n v="663"/>
    <n v="236"/>
    <n v="479490"/>
    <n v="4.51"/>
    <n v="23853"/>
  </r>
  <r>
    <x v="33"/>
    <x v="2"/>
    <n v="1040"/>
    <n v="149"/>
    <n v="124404"/>
    <n v="5.23"/>
    <n v="45380"/>
  </r>
  <r>
    <x v="33"/>
    <x v="3"/>
    <n v="1166"/>
    <n v="442"/>
    <n v="336949"/>
    <n v="4.68"/>
    <n v="7705"/>
  </r>
  <r>
    <x v="34"/>
    <x v="0"/>
    <n v="115"/>
    <n v="281"/>
    <n v="357265"/>
    <n v="9.23"/>
    <n v="25525"/>
  </r>
  <r>
    <x v="34"/>
    <x v="1"/>
    <n v="1249"/>
    <n v="351"/>
    <n v="321307"/>
    <n v="6.37"/>
    <n v="20560"/>
  </r>
  <r>
    <x v="34"/>
    <x v="2"/>
    <n v="1501"/>
    <n v="75"/>
    <n v="262569"/>
    <n v="2.0099999999999998"/>
    <n v="19119"/>
  </r>
  <r>
    <x v="34"/>
    <x v="3"/>
    <n v="1411"/>
    <n v="186"/>
    <n v="461669"/>
    <n v="3.72"/>
    <n v="43999"/>
  </r>
  <r>
    <x v="35"/>
    <x v="0"/>
    <n v="1556"/>
    <n v="476"/>
    <n v="351556"/>
    <n v="3.89"/>
    <n v="10825"/>
  </r>
  <r>
    <x v="35"/>
    <x v="1"/>
    <n v="1159"/>
    <n v="411"/>
    <n v="135987"/>
    <n v="8.6999999999999993"/>
    <n v="40323"/>
  </r>
  <r>
    <x v="35"/>
    <x v="2"/>
    <n v="927"/>
    <n v="358"/>
    <n v="177554"/>
    <n v="6.95"/>
    <n v="48270"/>
  </r>
  <r>
    <x v="35"/>
    <x v="3"/>
    <n v="152"/>
    <n v="355"/>
    <n v="270766"/>
    <n v="9.48"/>
    <n v="18001"/>
  </r>
  <r>
    <x v="36"/>
    <x v="0"/>
    <n v="1957"/>
    <n v="234"/>
    <n v="222126"/>
    <n v="4.6100000000000003"/>
    <n v="3314"/>
  </r>
  <r>
    <x v="36"/>
    <x v="1"/>
    <n v="1294"/>
    <n v="382"/>
    <n v="309914"/>
    <n v="8.0299999999999994"/>
    <n v="23489"/>
  </r>
  <r>
    <x v="36"/>
    <x v="2"/>
    <n v="1587"/>
    <n v="385"/>
    <n v="126582"/>
    <n v="6.99"/>
    <n v="42832"/>
  </r>
  <r>
    <x v="36"/>
    <x v="3"/>
    <n v="1707"/>
    <n v="263"/>
    <n v="485280"/>
    <n v="9.0299999999999994"/>
    <n v="24494"/>
  </r>
  <r>
    <x v="37"/>
    <x v="0"/>
    <n v="1138"/>
    <n v="173"/>
    <n v="453243"/>
    <n v="2.86"/>
    <n v="44097"/>
  </r>
  <r>
    <x v="37"/>
    <x v="1"/>
    <n v="1895"/>
    <n v="305"/>
    <n v="104967"/>
    <n v="3.85"/>
    <n v="31853"/>
  </r>
  <r>
    <x v="37"/>
    <x v="2"/>
    <n v="362"/>
    <n v="399"/>
    <n v="145608"/>
    <n v="7.3"/>
    <n v="37636"/>
  </r>
  <r>
    <x v="37"/>
    <x v="3"/>
    <n v="1662"/>
    <n v="487"/>
    <n v="105980"/>
    <n v="9.08"/>
    <n v="22996"/>
  </r>
  <r>
    <x v="38"/>
    <x v="0"/>
    <n v="1440"/>
    <n v="65"/>
    <n v="126524"/>
    <n v="4.34"/>
    <n v="49772"/>
  </r>
  <r>
    <x v="38"/>
    <x v="1"/>
    <n v="1884"/>
    <n v="177"/>
    <n v="230448"/>
    <n v="7.8"/>
    <n v="22713"/>
  </r>
  <r>
    <x v="38"/>
    <x v="2"/>
    <n v="861"/>
    <n v="153"/>
    <n v="317007"/>
    <n v="3.85"/>
    <n v="8718"/>
  </r>
  <r>
    <x v="38"/>
    <x v="3"/>
    <n v="1063"/>
    <n v="47"/>
    <n v="464239"/>
    <n v="6.58"/>
    <n v="39031"/>
  </r>
  <r>
    <x v="39"/>
    <x v="0"/>
    <n v="1371"/>
    <n v="56"/>
    <n v="257579"/>
    <n v="8.6199999999999992"/>
    <n v="33799"/>
  </r>
  <r>
    <x v="39"/>
    <x v="1"/>
    <n v="345"/>
    <n v="464"/>
    <n v="366881"/>
    <n v="4.55"/>
    <n v="20553"/>
  </r>
  <r>
    <x v="39"/>
    <x v="2"/>
    <n v="946"/>
    <n v="47"/>
    <n v="466575"/>
    <n v="8.33"/>
    <n v="10002"/>
  </r>
  <r>
    <x v="39"/>
    <x v="3"/>
    <n v="510"/>
    <n v="195"/>
    <n v="224534"/>
    <n v="9.4"/>
    <n v="30987"/>
  </r>
  <r>
    <x v="40"/>
    <x v="0"/>
    <n v="393"/>
    <n v="181"/>
    <n v="462142"/>
    <n v="7.23"/>
    <n v="6296"/>
  </r>
  <r>
    <x v="40"/>
    <x v="1"/>
    <n v="1098"/>
    <n v="190"/>
    <n v="340842"/>
    <n v="9.39"/>
    <n v="21539"/>
  </r>
  <r>
    <x v="40"/>
    <x v="2"/>
    <n v="1399"/>
    <n v="49"/>
    <n v="12471"/>
    <n v="5.12"/>
    <n v="14722"/>
  </r>
  <r>
    <x v="40"/>
    <x v="3"/>
    <n v="1658"/>
    <n v="416"/>
    <n v="98397"/>
    <n v="6.11"/>
    <n v="11383"/>
  </r>
  <r>
    <x v="41"/>
    <x v="0"/>
    <n v="1102"/>
    <n v="422"/>
    <n v="410330"/>
    <n v="7.74"/>
    <n v="9480"/>
  </r>
  <r>
    <x v="41"/>
    <x v="1"/>
    <n v="1358"/>
    <n v="242"/>
    <n v="342129"/>
    <n v="4.9400000000000004"/>
    <n v="29116"/>
  </r>
  <r>
    <x v="41"/>
    <x v="2"/>
    <n v="1077"/>
    <n v="216"/>
    <n v="12447"/>
    <n v="1.8"/>
    <n v="14068"/>
  </r>
  <r>
    <x v="41"/>
    <x v="3"/>
    <n v="1596"/>
    <n v="211"/>
    <n v="17380"/>
    <n v="8.64"/>
    <n v="35801"/>
  </r>
  <r>
    <x v="42"/>
    <x v="0"/>
    <n v="490"/>
    <n v="29"/>
    <n v="364810"/>
    <n v="1.53"/>
    <n v="49077"/>
  </r>
  <r>
    <x v="42"/>
    <x v="1"/>
    <n v="609"/>
    <n v="135"/>
    <n v="373606"/>
    <n v="8.52"/>
    <n v="21453"/>
  </r>
  <r>
    <x v="42"/>
    <x v="2"/>
    <n v="364"/>
    <n v="72"/>
    <n v="211090"/>
    <n v="5.53"/>
    <n v="21061"/>
  </r>
  <r>
    <x v="42"/>
    <x v="3"/>
    <n v="442"/>
    <n v="53"/>
    <n v="441931"/>
    <n v="1.87"/>
    <n v="20059"/>
  </r>
  <r>
    <x v="43"/>
    <x v="0"/>
    <n v="1033"/>
    <n v="392"/>
    <n v="282780"/>
    <n v="6.27"/>
    <n v="23140"/>
  </r>
  <r>
    <x v="43"/>
    <x v="1"/>
    <n v="988"/>
    <n v="474"/>
    <n v="370070"/>
    <n v="9.4600000000000009"/>
    <n v="23461"/>
  </r>
  <r>
    <x v="43"/>
    <x v="2"/>
    <n v="1946"/>
    <n v="270"/>
    <n v="198350"/>
    <n v="7.5"/>
    <n v="11805"/>
  </r>
  <r>
    <x v="43"/>
    <x v="3"/>
    <n v="1957"/>
    <n v="490"/>
    <n v="435726"/>
    <n v="4.7300000000000004"/>
    <n v="15969"/>
  </r>
  <r>
    <x v="44"/>
    <x v="0"/>
    <n v="559"/>
    <n v="392"/>
    <n v="78789"/>
    <n v="3.19"/>
    <n v="2436"/>
  </r>
  <r>
    <x v="44"/>
    <x v="1"/>
    <n v="1307"/>
    <n v="278"/>
    <n v="98596"/>
    <n v="2.4900000000000002"/>
    <n v="47603"/>
  </r>
  <r>
    <x v="44"/>
    <x v="2"/>
    <n v="1432"/>
    <n v="425"/>
    <n v="29589"/>
    <n v="4.5"/>
    <n v="42964"/>
  </r>
  <r>
    <x v="44"/>
    <x v="3"/>
    <n v="623"/>
    <n v="414"/>
    <n v="290354"/>
    <n v="6.49"/>
    <n v="39923"/>
  </r>
  <r>
    <x v="45"/>
    <x v="0"/>
    <n v="198"/>
    <n v="358"/>
    <n v="66682"/>
    <n v="6.73"/>
    <n v="2293"/>
  </r>
  <r>
    <x v="45"/>
    <x v="1"/>
    <n v="198"/>
    <n v="373"/>
    <n v="70707"/>
    <n v="4.83"/>
    <n v="25920"/>
  </r>
  <r>
    <x v="45"/>
    <x v="2"/>
    <n v="353"/>
    <n v="300"/>
    <n v="142507"/>
    <n v="5.3"/>
    <n v="11035"/>
  </r>
  <r>
    <x v="45"/>
    <x v="3"/>
    <n v="520"/>
    <n v="375"/>
    <n v="369525"/>
    <n v="6.54"/>
    <n v="20733"/>
  </r>
  <r>
    <x v="46"/>
    <x v="0"/>
    <n v="961"/>
    <n v="358"/>
    <n v="62942"/>
    <n v="6.8"/>
    <n v="18693"/>
  </r>
  <r>
    <x v="46"/>
    <x v="1"/>
    <n v="1375"/>
    <n v="330"/>
    <n v="377382"/>
    <n v="2.6"/>
    <n v="7875"/>
  </r>
  <r>
    <x v="46"/>
    <x v="2"/>
    <n v="1147"/>
    <n v="388"/>
    <n v="333851"/>
    <n v="2.44"/>
    <n v="8471"/>
  </r>
  <r>
    <x v="46"/>
    <x v="3"/>
    <n v="1707"/>
    <n v="74"/>
    <n v="270958"/>
    <n v="3.09"/>
    <n v="14090"/>
  </r>
  <r>
    <x v="47"/>
    <x v="0"/>
    <n v="1693"/>
    <n v="154"/>
    <n v="445944"/>
    <n v="5.69"/>
    <n v="14216"/>
  </r>
  <r>
    <x v="47"/>
    <x v="1"/>
    <n v="833"/>
    <n v="380"/>
    <n v="224830"/>
    <n v="3.86"/>
    <n v="3582"/>
  </r>
  <r>
    <x v="47"/>
    <x v="2"/>
    <n v="1222"/>
    <n v="274"/>
    <n v="487289"/>
    <n v="3.16"/>
    <n v="32500"/>
  </r>
  <r>
    <x v="47"/>
    <x v="3"/>
    <n v="777"/>
    <n v="140"/>
    <n v="11435"/>
    <n v="1.6"/>
    <n v="6832"/>
  </r>
  <r>
    <x v="48"/>
    <x v="0"/>
    <n v="1957"/>
    <n v="76"/>
    <n v="447902"/>
    <n v="6.09"/>
    <n v="33381"/>
  </r>
  <r>
    <x v="48"/>
    <x v="1"/>
    <n v="405"/>
    <n v="66"/>
    <n v="418696"/>
    <n v="5.59"/>
    <n v="48419"/>
  </r>
  <r>
    <x v="48"/>
    <x v="2"/>
    <n v="1581"/>
    <n v="71"/>
    <n v="484364"/>
    <n v="3.55"/>
    <n v="16149"/>
  </r>
  <r>
    <x v="48"/>
    <x v="3"/>
    <n v="1035"/>
    <n v="171"/>
    <n v="148477"/>
    <n v="5.21"/>
    <n v="7541"/>
  </r>
  <r>
    <x v="49"/>
    <x v="0"/>
    <n v="1765"/>
    <n v="109"/>
    <n v="468301"/>
    <n v="1.82"/>
    <n v="20042"/>
  </r>
  <r>
    <x v="49"/>
    <x v="1"/>
    <n v="837"/>
    <n v="430"/>
    <n v="364820"/>
    <n v="4"/>
    <n v="49400"/>
  </r>
  <r>
    <x v="49"/>
    <x v="2"/>
    <n v="337"/>
    <n v="68"/>
    <n v="456298"/>
    <n v="7.57"/>
    <n v="4007"/>
  </r>
  <r>
    <x v="49"/>
    <x v="3"/>
    <n v="119"/>
    <n v="456"/>
    <n v="82558"/>
    <n v="6.8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7C373-EE33-45AA-A4A1-8136D4DE8D6A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7" firstHeaderRow="1" firstDataRow="1" firstDataCol="1"/>
  <pivotFields count="10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 v="1"/>
    </i>
    <i>
      <x v="2"/>
    </i>
    <i>
      <x/>
    </i>
    <i>
      <x v="3"/>
    </i>
  </rowItems>
  <colItems count="1">
    <i/>
  </colItems>
  <dataFields count="1">
    <dataField name="Average of Engagement_Rate" fld="5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7971B-D3E8-496F-A386-A1F370A13FBD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7" firstHeaderRow="0" firstDataRow="1" firstDataCol="1"/>
  <pivotFields count="10"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Max of Total_Followers" fld="4" subtotal="max" baseField="1" baseItem="1"/>
    <dataField name="Min of Total_Followers" fld="4" subtotal="min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7421001-8708-494E-9864-518C37187500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28C23-6B82-48B5-BE70-EF6FC8B3D826}" name="Engagment_Summary" displayName="Engagment_Summary" ref="A1:G201" tableType="queryTable" totalsRowShown="0">
  <autoFilter ref="A1:G201" xr:uid="{31628C23-6B82-48B5-BE70-EF6FC8B3D826}"/>
  <tableColumns count="7">
    <tableColumn id="1" xr3:uid="{0090ACD1-85BC-4C5A-B544-1F5770C1C04C}" uniqueName="1" name="Week_Start_Date" queryTableFieldId="1" dataDxfId="1"/>
    <tableColumn id="2" xr3:uid="{698B0FF1-F8FA-4820-AFC3-1652CFA086E5}" uniqueName="2" name="Platform" queryTableFieldId="2" dataDxfId="0"/>
    <tableColumn id="3" xr3:uid="{D9304961-C9CC-4841-837C-F31EAA5A8606}" uniqueName="3" name="New_Followers" queryTableFieldId="3"/>
    <tableColumn id="4" xr3:uid="{33D2FA01-35F6-49EB-8641-006CC7C47152}" uniqueName="4" name="Unfollows" queryTableFieldId="4"/>
    <tableColumn id="5" xr3:uid="{C3A55292-EFA0-4A8A-A5AE-D565AE44C52B}" uniqueName="5" name="Total_Followers" queryTableFieldId="5"/>
    <tableColumn id="6" xr3:uid="{99DB1191-145F-4CE3-8D69-D4364A752AD9}" uniqueName="6" name="Engagement_Rate" queryTableFieldId="6"/>
    <tableColumn id="7" xr3:uid="{9A522227-7983-4B8D-8C30-632387AF76CD}" uniqueName="7" name="Ad_Spen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8C8B-D5DA-4520-ADD7-31D64E7C26D0}">
  <dimension ref="A1:G201"/>
  <sheetViews>
    <sheetView workbookViewId="0">
      <selection activeCell="I9" sqref="I9"/>
    </sheetView>
  </sheetViews>
  <sheetFormatPr defaultRowHeight="15" x14ac:dyDescent="0.25"/>
  <cols>
    <col min="1" max="1" width="18.85546875" bestFit="1" customWidth="1"/>
    <col min="2" max="2" width="11" bestFit="1" customWidth="1"/>
    <col min="3" max="3" width="17" bestFit="1" customWidth="1"/>
    <col min="4" max="4" width="12.28515625" bestFit="1" customWidth="1"/>
    <col min="5" max="5" width="17.42578125" bestFit="1" customWidth="1"/>
    <col min="6" max="6" width="19.7109375" bestFit="1" customWidth="1"/>
    <col min="7" max="7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45446</v>
      </c>
      <c r="B2" t="s">
        <v>7</v>
      </c>
      <c r="C2">
        <v>1135</v>
      </c>
      <c r="D2">
        <v>88</v>
      </c>
      <c r="E2">
        <v>344084</v>
      </c>
      <c r="F2">
        <v>8.06</v>
      </c>
      <c r="G2">
        <v>5904</v>
      </c>
    </row>
    <row r="3" spans="1:7" x14ac:dyDescent="0.25">
      <c r="A3" s="1">
        <v>45446</v>
      </c>
      <c r="B3" t="s">
        <v>8</v>
      </c>
      <c r="C3">
        <v>1312</v>
      </c>
      <c r="D3">
        <v>310</v>
      </c>
      <c r="E3">
        <v>42654</v>
      </c>
      <c r="F3">
        <v>4.9800000000000004</v>
      </c>
      <c r="G3">
        <v>9566</v>
      </c>
    </row>
    <row r="4" spans="1:7" x14ac:dyDescent="0.25">
      <c r="A4" s="1">
        <v>45446</v>
      </c>
      <c r="B4" t="s">
        <v>9</v>
      </c>
      <c r="C4">
        <v>584</v>
      </c>
      <c r="D4">
        <v>169</v>
      </c>
      <c r="E4">
        <v>146834</v>
      </c>
      <c r="F4">
        <v>8.31</v>
      </c>
      <c r="G4">
        <v>26752</v>
      </c>
    </row>
    <row r="5" spans="1:7" x14ac:dyDescent="0.25">
      <c r="A5" s="1">
        <v>45446</v>
      </c>
      <c r="B5" t="s">
        <v>10</v>
      </c>
      <c r="C5">
        <v>1535</v>
      </c>
      <c r="D5">
        <v>445</v>
      </c>
      <c r="E5">
        <v>395536</v>
      </c>
      <c r="F5">
        <v>4.1100000000000003</v>
      </c>
      <c r="G5">
        <v>30671</v>
      </c>
    </row>
    <row r="6" spans="1:7" x14ac:dyDescent="0.25">
      <c r="A6" s="1">
        <v>45453</v>
      </c>
      <c r="B6" t="s">
        <v>7</v>
      </c>
      <c r="C6">
        <v>656</v>
      </c>
      <c r="D6">
        <v>139</v>
      </c>
      <c r="E6">
        <v>49157</v>
      </c>
      <c r="F6">
        <v>9.0500000000000007</v>
      </c>
      <c r="G6">
        <v>9920</v>
      </c>
    </row>
    <row r="7" spans="1:7" x14ac:dyDescent="0.25">
      <c r="A7" s="1">
        <v>45453</v>
      </c>
      <c r="B7" t="s">
        <v>8</v>
      </c>
      <c r="C7">
        <v>1697</v>
      </c>
      <c r="D7">
        <v>414</v>
      </c>
      <c r="E7">
        <v>316555</v>
      </c>
      <c r="F7">
        <v>2.37</v>
      </c>
      <c r="G7">
        <v>7924</v>
      </c>
    </row>
    <row r="8" spans="1:7" x14ac:dyDescent="0.25">
      <c r="A8" s="1">
        <v>45453</v>
      </c>
      <c r="B8" t="s">
        <v>9</v>
      </c>
      <c r="C8">
        <v>436</v>
      </c>
      <c r="D8">
        <v>250</v>
      </c>
      <c r="E8">
        <v>254347</v>
      </c>
      <c r="F8">
        <v>4.01</v>
      </c>
      <c r="G8">
        <v>8912</v>
      </c>
    </row>
    <row r="9" spans="1:7" x14ac:dyDescent="0.25">
      <c r="A9" s="1">
        <v>45453</v>
      </c>
      <c r="B9" t="s">
        <v>10</v>
      </c>
      <c r="C9">
        <v>1197</v>
      </c>
      <c r="D9">
        <v>203</v>
      </c>
      <c r="E9">
        <v>413878</v>
      </c>
      <c r="F9">
        <v>3.16</v>
      </c>
      <c r="G9">
        <v>21205</v>
      </c>
    </row>
    <row r="10" spans="1:7" x14ac:dyDescent="0.25">
      <c r="A10" s="1">
        <v>45460</v>
      </c>
      <c r="B10" t="s">
        <v>7</v>
      </c>
      <c r="C10">
        <v>1048</v>
      </c>
      <c r="D10">
        <v>155</v>
      </c>
      <c r="E10">
        <v>456946</v>
      </c>
      <c r="F10">
        <v>2.46</v>
      </c>
      <c r="G10">
        <v>11329</v>
      </c>
    </row>
    <row r="11" spans="1:7" x14ac:dyDescent="0.25">
      <c r="A11" s="1">
        <v>45460</v>
      </c>
      <c r="B11" t="s">
        <v>8</v>
      </c>
      <c r="C11">
        <v>1753</v>
      </c>
      <c r="D11">
        <v>371</v>
      </c>
      <c r="E11">
        <v>169496</v>
      </c>
      <c r="F11">
        <v>8.11</v>
      </c>
      <c r="G11">
        <v>46670</v>
      </c>
    </row>
    <row r="12" spans="1:7" x14ac:dyDescent="0.25">
      <c r="A12" s="1">
        <v>45460</v>
      </c>
      <c r="B12" t="s">
        <v>9</v>
      </c>
      <c r="C12">
        <v>1335</v>
      </c>
      <c r="D12">
        <v>40</v>
      </c>
      <c r="E12">
        <v>122732</v>
      </c>
      <c r="F12">
        <v>8.19</v>
      </c>
      <c r="G12">
        <v>22482</v>
      </c>
    </row>
    <row r="13" spans="1:7" x14ac:dyDescent="0.25">
      <c r="A13" s="1">
        <v>45460</v>
      </c>
      <c r="B13" t="s">
        <v>10</v>
      </c>
      <c r="C13">
        <v>403</v>
      </c>
      <c r="D13">
        <v>66</v>
      </c>
      <c r="E13">
        <v>382851</v>
      </c>
      <c r="F13">
        <v>3.49</v>
      </c>
      <c r="G13">
        <v>24313</v>
      </c>
    </row>
    <row r="14" spans="1:7" x14ac:dyDescent="0.25">
      <c r="A14" s="1">
        <v>45467</v>
      </c>
      <c r="B14" t="s">
        <v>7</v>
      </c>
      <c r="C14">
        <v>911</v>
      </c>
      <c r="D14">
        <v>282</v>
      </c>
      <c r="E14">
        <v>35664</v>
      </c>
      <c r="F14">
        <v>6.92</v>
      </c>
      <c r="G14">
        <v>18050</v>
      </c>
    </row>
    <row r="15" spans="1:7" x14ac:dyDescent="0.25">
      <c r="A15" s="1">
        <v>45467</v>
      </c>
      <c r="B15" t="s">
        <v>8</v>
      </c>
      <c r="C15">
        <v>1779</v>
      </c>
      <c r="D15">
        <v>109</v>
      </c>
      <c r="E15">
        <v>26295</v>
      </c>
      <c r="F15">
        <v>9.1199999999999992</v>
      </c>
      <c r="G15">
        <v>30635</v>
      </c>
    </row>
    <row r="16" spans="1:7" x14ac:dyDescent="0.25">
      <c r="A16" s="1">
        <v>45467</v>
      </c>
      <c r="B16" t="s">
        <v>9</v>
      </c>
      <c r="C16">
        <v>1238</v>
      </c>
      <c r="D16">
        <v>403</v>
      </c>
      <c r="E16">
        <v>298421</v>
      </c>
      <c r="F16">
        <v>3.5</v>
      </c>
      <c r="G16">
        <v>31280</v>
      </c>
    </row>
    <row r="17" spans="1:7" x14ac:dyDescent="0.25">
      <c r="A17" s="1">
        <v>45467</v>
      </c>
      <c r="B17" t="s">
        <v>10</v>
      </c>
      <c r="C17">
        <v>308</v>
      </c>
      <c r="D17">
        <v>431</v>
      </c>
      <c r="E17">
        <v>426184</v>
      </c>
      <c r="F17">
        <v>2.62</v>
      </c>
      <c r="G17">
        <v>1783</v>
      </c>
    </row>
    <row r="18" spans="1:7" x14ac:dyDescent="0.25">
      <c r="A18" s="1">
        <v>45474</v>
      </c>
      <c r="B18" t="s">
        <v>7</v>
      </c>
      <c r="C18">
        <v>226</v>
      </c>
      <c r="D18">
        <v>445</v>
      </c>
      <c r="E18">
        <v>419447</v>
      </c>
      <c r="F18">
        <v>9.36</v>
      </c>
      <c r="G18">
        <v>9566</v>
      </c>
    </row>
    <row r="19" spans="1:7" x14ac:dyDescent="0.25">
      <c r="A19" s="1">
        <v>45474</v>
      </c>
      <c r="B19" t="s">
        <v>8</v>
      </c>
      <c r="C19">
        <v>505</v>
      </c>
      <c r="D19">
        <v>441</v>
      </c>
      <c r="E19">
        <v>220020</v>
      </c>
      <c r="F19">
        <v>4.4800000000000004</v>
      </c>
      <c r="G19">
        <v>42307</v>
      </c>
    </row>
    <row r="20" spans="1:7" x14ac:dyDescent="0.25">
      <c r="A20" s="1">
        <v>45474</v>
      </c>
      <c r="B20" t="s">
        <v>9</v>
      </c>
      <c r="C20">
        <v>1420</v>
      </c>
      <c r="D20">
        <v>63</v>
      </c>
      <c r="E20">
        <v>315305</v>
      </c>
      <c r="F20">
        <v>6.19</v>
      </c>
      <c r="G20">
        <v>5914</v>
      </c>
    </row>
    <row r="21" spans="1:7" x14ac:dyDescent="0.25">
      <c r="A21" s="1">
        <v>45474</v>
      </c>
      <c r="B21" t="s">
        <v>10</v>
      </c>
      <c r="C21">
        <v>144</v>
      </c>
      <c r="D21">
        <v>53</v>
      </c>
      <c r="E21">
        <v>113678</v>
      </c>
      <c r="F21">
        <v>8.7200000000000006</v>
      </c>
      <c r="G21">
        <v>30060</v>
      </c>
    </row>
    <row r="22" spans="1:7" x14ac:dyDescent="0.25">
      <c r="A22" s="1">
        <v>45481</v>
      </c>
      <c r="B22" t="s">
        <v>7</v>
      </c>
      <c r="C22">
        <v>1757</v>
      </c>
      <c r="D22">
        <v>85</v>
      </c>
      <c r="E22">
        <v>58223</v>
      </c>
      <c r="F22">
        <v>8.74</v>
      </c>
      <c r="G22">
        <v>22728</v>
      </c>
    </row>
    <row r="23" spans="1:7" x14ac:dyDescent="0.25">
      <c r="A23" s="1">
        <v>45481</v>
      </c>
      <c r="B23" t="s">
        <v>8</v>
      </c>
      <c r="C23">
        <v>350</v>
      </c>
      <c r="D23">
        <v>41</v>
      </c>
      <c r="E23">
        <v>251694</v>
      </c>
      <c r="F23">
        <v>1.91</v>
      </c>
      <c r="G23">
        <v>38610</v>
      </c>
    </row>
    <row r="24" spans="1:7" x14ac:dyDescent="0.25">
      <c r="A24" s="1">
        <v>45481</v>
      </c>
      <c r="B24" t="s">
        <v>9</v>
      </c>
      <c r="C24">
        <v>987</v>
      </c>
      <c r="D24">
        <v>440</v>
      </c>
      <c r="E24">
        <v>389810</v>
      </c>
      <c r="F24">
        <v>4.66</v>
      </c>
      <c r="G24">
        <v>2932</v>
      </c>
    </row>
    <row r="25" spans="1:7" x14ac:dyDescent="0.25">
      <c r="A25" s="1">
        <v>45481</v>
      </c>
      <c r="B25" t="s">
        <v>10</v>
      </c>
      <c r="C25">
        <v>883</v>
      </c>
      <c r="D25">
        <v>369</v>
      </c>
      <c r="E25">
        <v>233694</v>
      </c>
      <c r="F25">
        <v>2.88</v>
      </c>
      <c r="G25">
        <v>15071</v>
      </c>
    </row>
    <row r="26" spans="1:7" x14ac:dyDescent="0.25">
      <c r="A26" s="1">
        <v>45488</v>
      </c>
      <c r="B26" t="s">
        <v>7</v>
      </c>
      <c r="C26">
        <v>1960</v>
      </c>
      <c r="D26">
        <v>115</v>
      </c>
      <c r="E26">
        <v>154169</v>
      </c>
      <c r="F26">
        <v>3.74</v>
      </c>
      <c r="G26">
        <v>10740</v>
      </c>
    </row>
    <row r="27" spans="1:7" x14ac:dyDescent="0.25">
      <c r="A27" s="1">
        <v>45488</v>
      </c>
      <c r="B27" t="s">
        <v>8</v>
      </c>
      <c r="C27">
        <v>170</v>
      </c>
      <c r="D27">
        <v>334</v>
      </c>
      <c r="E27">
        <v>334626</v>
      </c>
      <c r="F27">
        <v>6.44</v>
      </c>
      <c r="G27">
        <v>43420</v>
      </c>
    </row>
    <row r="28" spans="1:7" x14ac:dyDescent="0.25">
      <c r="A28" s="1">
        <v>45488</v>
      </c>
      <c r="B28" t="s">
        <v>9</v>
      </c>
      <c r="C28">
        <v>704</v>
      </c>
      <c r="D28">
        <v>275</v>
      </c>
      <c r="E28">
        <v>226002</v>
      </c>
      <c r="F28">
        <v>8.56</v>
      </c>
      <c r="G28">
        <v>32393</v>
      </c>
    </row>
    <row r="29" spans="1:7" x14ac:dyDescent="0.25">
      <c r="A29" s="1">
        <v>45488</v>
      </c>
      <c r="B29" t="s">
        <v>10</v>
      </c>
      <c r="C29">
        <v>224</v>
      </c>
      <c r="D29">
        <v>64</v>
      </c>
      <c r="E29">
        <v>156683</v>
      </c>
      <c r="F29">
        <v>4.5599999999999996</v>
      </c>
      <c r="G29">
        <v>28474</v>
      </c>
    </row>
    <row r="30" spans="1:7" x14ac:dyDescent="0.25">
      <c r="A30" s="1">
        <v>45495</v>
      </c>
      <c r="B30" t="s">
        <v>7</v>
      </c>
      <c r="C30">
        <v>508</v>
      </c>
      <c r="D30">
        <v>349</v>
      </c>
      <c r="E30">
        <v>473812</v>
      </c>
      <c r="F30">
        <v>7.88</v>
      </c>
      <c r="G30">
        <v>17328</v>
      </c>
    </row>
    <row r="31" spans="1:7" x14ac:dyDescent="0.25">
      <c r="A31" s="1">
        <v>45495</v>
      </c>
      <c r="B31" t="s">
        <v>8</v>
      </c>
      <c r="C31">
        <v>1391</v>
      </c>
      <c r="D31">
        <v>430</v>
      </c>
      <c r="E31">
        <v>295032</v>
      </c>
      <c r="F31">
        <v>7.86</v>
      </c>
      <c r="G31">
        <v>26067</v>
      </c>
    </row>
    <row r="32" spans="1:7" x14ac:dyDescent="0.25">
      <c r="A32" s="1">
        <v>45495</v>
      </c>
      <c r="B32" t="s">
        <v>9</v>
      </c>
      <c r="C32">
        <v>1701</v>
      </c>
      <c r="D32">
        <v>385</v>
      </c>
      <c r="E32">
        <v>198278</v>
      </c>
      <c r="F32">
        <v>5.34</v>
      </c>
      <c r="G32">
        <v>32763</v>
      </c>
    </row>
    <row r="33" spans="1:7" x14ac:dyDescent="0.25">
      <c r="A33" s="1">
        <v>45495</v>
      </c>
      <c r="B33" t="s">
        <v>10</v>
      </c>
      <c r="C33">
        <v>804</v>
      </c>
      <c r="D33">
        <v>487</v>
      </c>
      <c r="E33">
        <v>306564</v>
      </c>
      <c r="F33">
        <v>5.52</v>
      </c>
      <c r="G33">
        <v>26452</v>
      </c>
    </row>
    <row r="34" spans="1:7" x14ac:dyDescent="0.25">
      <c r="A34" s="1">
        <v>45502</v>
      </c>
      <c r="B34" t="s">
        <v>7</v>
      </c>
      <c r="C34">
        <v>653</v>
      </c>
      <c r="D34">
        <v>112</v>
      </c>
      <c r="E34">
        <v>23664</v>
      </c>
      <c r="F34">
        <v>4.05</v>
      </c>
      <c r="G34">
        <v>15353</v>
      </c>
    </row>
    <row r="35" spans="1:7" x14ac:dyDescent="0.25">
      <c r="A35" s="1">
        <v>45502</v>
      </c>
      <c r="B35" t="s">
        <v>8</v>
      </c>
      <c r="C35">
        <v>160</v>
      </c>
      <c r="D35">
        <v>478</v>
      </c>
      <c r="E35">
        <v>435034</v>
      </c>
      <c r="F35">
        <v>7.73</v>
      </c>
      <c r="G35">
        <v>4839</v>
      </c>
    </row>
    <row r="36" spans="1:7" x14ac:dyDescent="0.25">
      <c r="A36" s="1">
        <v>45502</v>
      </c>
      <c r="B36" t="s">
        <v>9</v>
      </c>
      <c r="C36">
        <v>1756</v>
      </c>
      <c r="D36">
        <v>261</v>
      </c>
      <c r="E36">
        <v>287574</v>
      </c>
      <c r="F36">
        <v>4.3600000000000003</v>
      </c>
      <c r="G36">
        <v>39272</v>
      </c>
    </row>
    <row r="37" spans="1:7" x14ac:dyDescent="0.25">
      <c r="A37" s="1">
        <v>45502</v>
      </c>
      <c r="B37" t="s">
        <v>10</v>
      </c>
      <c r="C37">
        <v>576</v>
      </c>
      <c r="D37">
        <v>101</v>
      </c>
      <c r="E37">
        <v>62499</v>
      </c>
      <c r="F37">
        <v>3.48</v>
      </c>
      <c r="G37">
        <v>16804</v>
      </c>
    </row>
    <row r="38" spans="1:7" x14ac:dyDescent="0.25">
      <c r="A38" s="1">
        <v>45509</v>
      </c>
      <c r="B38" t="s">
        <v>7</v>
      </c>
      <c r="C38">
        <v>645</v>
      </c>
      <c r="D38">
        <v>293</v>
      </c>
      <c r="E38">
        <v>437968</v>
      </c>
      <c r="F38">
        <v>7.83</v>
      </c>
      <c r="G38">
        <v>49303</v>
      </c>
    </row>
    <row r="39" spans="1:7" x14ac:dyDescent="0.25">
      <c r="A39" s="1">
        <v>45509</v>
      </c>
      <c r="B39" t="s">
        <v>8</v>
      </c>
      <c r="C39">
        <v>214</v>
      </c>
      <c r="D39">
        <v>411</v>
      </c>
      <c r="E39">
        <v>125034</v>
      </c>
      <c r="F39">
        <v>6.11</v>
      </c>
      <c r="G39">
        <v>26455</v>
      </c>
    </row>
    <row r="40" spans="1:7" x14ac:dyDescent="0.25">
      <c r="A40" s="1">
        <v>45509</v>
      </c>
      <c r="B40" t="s">
        <v>9</v>
      </c>
      <c r="C40">
        <v>826</v>
      </c>
      <c r="D40">
        <v>498</v>
      </c>
      <c r="E40">
        <v>449994</v>
      </c>
      <c r="F40">
        <v>9.43</v>
      </c>
      <c r="G40">
        <v>12384</v>
      </c>
    </row>
    <row r="41" spans="1:7" x14ac:dyDescent="0.25">
      <c r="A41" s="1">
        <v>45509</v>
      </c>
      <c r="B41" t="s">
        <v>10</v>
      </c>
      <c r="C41">
        <v>460</v>
      </c>
      <c r="D41">
        <v>141</v>
      </c>
      <c r="E41">
        <v>320650</v>
      </c>
      <c r="F41">
        <v>4.04</v>
      </c>
      <c r="G41">
        <v>49372</v>
      </c>
    </row>
    <row r="42" spans="1:7" x14ac:dyDescent="0.25">
      <c r="A42" s="1">
        <v>45516</v>
      </c>
      <c r="B42" t="s">
        <v>7</v>
      </c>
      <c r="C42">
        <v>1528</v>
      </c>
      <c r="D42">
        <v>203</v>
      </c>
      <c r="E42">
        <v>489188</v>
      </c>
      <c r="F42">
        <v>6.23</v>
      </c>
      <c r="G42">
        <v>47101</v>
      </c>
    </row>
    <row r="43" spans="1:7" x14ac:dyDescent="0.25">
      <c r="A43" s="1">
        <v>45516</v>
      </c>
      <c r="B43" t="s">
        <v>8</v>
      </c>
      <c r="C43">
        <v>1534</v>
      </c>
      <c r="D43">
        <v>200</v>
      </c>
      <c r="E43">
        <v>307612</v>
      </c>
      <c r="F43">
        <v>6.01</v>
      </c>
      <c r="G43">
        <v>37903</v>
      </c>
    </row>
    <row r="44" spans="1:7" x14ac:dyDescent="0.25">
      <c r="A44" s="1">
        <v>45516</v>
      </c>
      <c r="B44" t="s">
        <v>9</v>
      </c>
      <c r="C44">
        <v>485</v>
      </c>
      <c r="D44">
        <v>448</v>
      </c>
      <c r="E44">
        <v>434883</v>
      </c>
      <c r="F44">
        <v>8.5500000000000007</v>
      </c>
      <c r="G44">
        <v>33258</v>
      </c>
    </row>
    <row r="45" spans="1:7" x14ac:dyDescent="0.25">
      <c r="A45" s="1">
        <v>45516</v>
      </c>
      <c r="B45" t="s">
        <v>10</v>
      </c>
      <c r="C45">
        <v>1210</v>
      </c>
      <c r="D45">
        <v>178</v>
      </c>
      <c r="E45">
        <v>102042</v>
      </c>
      <c r="F45">
        <v>5.42</v>
      </c>
      <c r="G45">
        <v>6915</v>
      </c>
    </row>
    <row r="46" spans="1:7" x14ac:dyDescent="0.25">
      <c r="A46" s="1">
        <v>45523</v>
      </c>
      <c r="B46" t="s">
        <v>7</v>
      </c>
      <c r="C46">
        <v>215</v>
      </c>
      <c r="D46">
        <v>139</v>
      </c>
      <c r="E46">
        <v>325444</v>
      </c>
      <c r="F46">
        <v>3.25</v>
      </c>
      <c r="G46">
        <v>35501</v>
      </c>
    </row>
    <row r="47" spans="1:7" x14ac:dyDescent="0.25">
      <c r="A47" s="1">
        <v>45523</v>
      </c>
      <c r="B47" t="s">
        <v>8</v>
      </c>
      <c r="C47">
        <v>1078</v>
      </c>
      <c r="D47">
        <v>20</v>
      </c>
      <c r="E47">
        <v>183924</v>
      </c>
      <c r="F47">
        <v>8.84</v>
      </c>
      <c r="G47">
        <v>14203</v>
      </c>
    </row>
    <row r="48" spans="1:7" x14ac:dyDescent="0.25">
      <c r="A48" s="1">
        <v>45523</v>
      </c>
      <c r="B48" t="s">
        <v>9</v>
      </c>
      <c r="C48">
        <v>1751</v>
      </c>
      <c r="D48">
        <v>86</v>
      </c>
      <c r="E48">
        <v>188655</v>
      </c>
      <c r="F48">
        <v>7.24</v>
      </c>
      <c r="G48">
        <v>22206</v>
      </c>
    </row>
    <row r="49" spans="1:7" x14ac:dyDescent="0.25">
      <c r="A49" s="1">
        <v>45523</v>
      </c>
      <c r="B49" t="s">
        <v>10</v>
      </c>
      <c r="C49">
        <v>221</v>
      </c>
      <c r="D49">
        <v>31</v>
      </c>
      <c r="E49">
        <v>87443</v>
      </c>
      <c r="F49">
        <v>6.19</v>
      </c>
      <c r="G49">
        <v>10283</v>
      </c>
    </row>
    <row r="50" spans="1:7" x14ac:dyDescent="0.25">
      <c r="A50" s="1">
        <v>45530</v>
      </c>
      <c r="B50" t="s">
        <v>7</v>
      </c>
      <c r="C50">
        <v>1685</v>
      </c>
      <c r="D50">
        <v>76</v>
      </c>
      <c r="E50">
        <v>453799</v>
      </c>
      <c r="F50">
        <v>5.71</v>
      </c>
      <c r="G50">
        <v>24913</v>
      </c>
    </row>
    <row r="51" spans="1:7" x14ac:dyDescent="0.25">
      <c r="A51" s="1">
        <v>45530</v>
      </c>
      <c r="B51" t="s">
        <v>8</v>
      </c>
      <c r="C51">
        <v>248</v>
      </c>
      <c r="D51">
        <v>211</v>
      </c>
      <c r="E51">
        <v>379380</v>
      </c>
      <c r="F51">
        <v>9.0399999999999991</v>
      </c>
      <c r="G51">
        <v>26925</v>
      </c>
    </row>
    <row r="52" spans="1:7" x14ac:dyDescent="0.25">
      <c r="A52" s="1">
        <v>45530</v>
      </c>
      <c r="B52" t="s">
        <v>9</v>
      </c>
      <c r="C52">
        <v>1300</v>
      </c>
      <c r="D52">
        <v>71</v>
      </c>
      <c r="E52">
        <v>186454</v>
      </c>
      <c r="F52">
        <v>3.91</v>
      </c>
      <c r="G52">
        <v>9942</v>
      </c>
    </row>
    <row r="53" spans="1:7" x14ac:dyDescent="0.25">
      <c r="A53" s="1">
        <v>45530</v>
      </c>
      <c r="B53" t="s">
        <v>10</v>
      </c>
      <c r="C53">
        <v>422</v>
      </c>
      <c r="D53">
        <v>394</v>
      </c>
      <c r="E53">
        <v>239044</v>
      </c>
      <c r="F53">
        <v>7.83</v>
      </c>
      <c r="G53">
        <v>32929</v>
      </c>
    </row>
    <row r="54" spans="1:7" x14ac:dyDescent="0.25">
      <c r="A54" s="1">
        <v>45537</v>
      </c>
      <c r="B54" t="s">
        <v>7</v>
      </c>
      <c r="C54">
        <v>1429</v>
      </c>
      <c r="D54">
        <v>182</v>
      </c>
      <c r="E54">
        <v>101332</v>
      </c>
      <c r="F54">
        <v>7.16</v>
      </c>
      <c r="G54">
        <v>37829</v>
      </c>
    </row>
    <row r="55" spans="1:7" x14ac:dyDescent="0.25">
      <c r="A55" s="1">
        <v>45537</v>
      </c>
      <c r="B55" t="s">
        <v>8</v>
      </c>
      <c r="C55">
        <v>1520</v>
      </c>
      <c r="D55">
        <v>475</v>
      </c>
      <c r="E55">
        <v>496982</v>
      </c>
      <c r="F55">
        <v>6.41</v>
      </c>
      <c r="G55">
        <v>24384</v>
      </c>
    </row>
    <row r="56" spans="1:7" x14ac:dyDescent="0.25">
      <c r="A56" s="1">
        <v>45537</v>
      </c>
      <c r="B56" t="s">
        <v>9</v>
      </c>
      <c r="C56">
        <v>557</v>
      </c>
      <c r="D56">
        <v>360</v>
      </c>
      <c r="E56">
        <v>318779</v>
      </c>
      <c r="F56">
        <v>8.02</v>
      </c>
      <c r="G56">
        <v>25797</v>
      </c>
    </row>
    <row r="57" spans="1:7" x14ac:dyDescent="0.25">
      <c r="A57" s="1">
        <v>45537</v>
      </c>
      <c r="B57" t="s">
        <v>10</v>
      </c>
      <c r="C57">
        <v>728</v>
      </c>
      <c r="D57">
        <v>395</v>
      </c>
      <c r="E57">
        <v>370971</v>
      </c>
      <c r="F57">
        <v>3.86</v>
      </c>
      <c r="G57">
        <v>12646</v>
      </c>
    </row>
    <row r="58" spans="1:7" x14ac:dyDescent="0.25">
      <c r="A58" s="1">
        <v>45544</v>
      </c>
      <c r="B58" t="s">
        <v>7</v>
      </c>
      <c r="C58">
        <v>1592</v>
      </c>
      <c r="D58">
        <v>20</v>
      </c>
      <c r="E58">
        <v>378054</v>
      </c>
      <c r="F58">
        <v>9.09</v>
      </c>
      <c r="G58">
        <v>26663</v>
      </c>
    </row>
    <row r="59" spans="1:7" x14ac:dyDescent="0.25">
      <c r="A59" s="1">
        <v>45544</v>
      </c>
      <c r="B59" t="s">
        <v>8</v>
      </c>
      <c r="C59">
        <v>1842</v>
      </c>
      <c r="D59">
        <v>414</v>
      </c>
      <c r="E59">
        <v>307524</v>
      </c>
      <c r="F59">
        <v>1.76</v>
      </c>
      <c r="G59">
        <v>40478</v>
      </c>
    </row>
    <row r="60" spans="1:7" x14ac:dyDescent="0.25">
      <c r="A60" s="1">
        <v>45544</v>
      </c>
      <c r="B60" t="s">
        <v>9</v>
      </c>
      <c r="C60">
        <v>751</v>
      </c>
      <c r="D60">
        <v>491</v>
      </c>
      <c r="E60">
        <v>434047</v>
      </c>
      <c r="F60">
        <v>9.24</v>
      </c>
      <c r="G60">
        <v>15476</v>
      </c>
    </row>
    <row r="61" spans="1:7" x14ac:dyDescent="0.25">
      <c r="A61" s="1">
        <v>45544</v>
      </c>
      <c r="B61" t="s">
        <v>10</v>
      </c>
      <c r="C61">
        <v>1409</v>
      </c>
      <c r="D61">
        <v>309</v>
      </c>
      <c r="E61">
        <v>64583</v>
      </c>
      <c r="F61">
        <v>8.99</v>
      </c>
      <c r="G61">
        <v>10217</v>
      </c>
    </row>
    <row r="62" spans="1:7" x14ac:dyDescent="0.25">
      <c r="A62" s="1">
        <v>45551</v>
      </c>
      <c r="B62" t="s">
        <v>7</v>
      </c>
      <c r="C62">
        <v>778</v>
      </c>
      <c r="D62">
        <v>401</v>
      </c>
      <c r="E62">
        <v>50793</v>
      </c>
      <c r="F62">
        <v>3.4</v>
      </c>
      <c r="G62">
        <v>21939</v>
      </c>
    </row>
    <row r="63" spans="1:7" x14ac:dyDescent="0.25">
      <c r="A63" s="1">
        <v>45551</v>
      </c>
      <c r="B63" t="s">
        <v>8</v>
      </c>
      <c r="C63">
        <v>443</v>
      </c>
      <c r="D63">
        <v>345</v>
      </c>
      <c r="E63">
        <v>474162</v>
      </c>
      <c r="F63">
        <v>9.1999999999999993</v>
      </c>
      <c r="G63">
        <v>47462</v>
      </c>
    </row>
    <row r="64" spans="1:7" x14ac:dyDescent="0.25">
      <c r="A64" s="1">
        <v>45551</v>
      </c>
      <c r="B64" t="s">
        <v>9</v>
      </c>
      <c r="C64">
        <v>1472</v>
      </c>
      <c r="D64">
        <v>347</v>
      </c>
      <c r="E64">
        <v>392355</v>
      </c>
      <c r="F64">
        <v>8.59</v>
      </c>
      <c r="G64">
        <v>30270</v>
      </c>
    </row>
    <row r="65" spans="1:7" x14ac:dyDescent="0.25">
      <c r="A65" s="1">
        <v>45551</v>
      </c>
      <c r="B65" t="s">
        <v>10</v>
      </c>
      <c r="C65">
        <v>123</v>
      </c>
      <c r="D65">
        <v>155</v>
      </c>
      <c r="E65">
        <v>119934</v>
      </c>
      <c r="F65">
        <v>3.5</v>
      </c>
      <c r="G65">
        <v>5442</v>
      </c>
    </row>
    <row r="66" spans="1:7" x14ac:dyDescent="0.25">
      <c r="A66" s="1">
        <v>45558</v>
      </c>
      <c r="B66" t="s">
        <v>7</v>
      </c>
      <c r="C66">
        <v>817</v>
      </c>
      <c r="D66">
        <v>151</v>
      </c>
      <c r="E66">
        <v>422625</v>
      </c>
      <c r="F66">
        <v>2.36</v>
      </c>
      <c r="G66">
        <v>1083</v>
      </c>
    </row>
    <row r="67" spans="1:7" x14ac:dyDescent="0.25">
      <c r="A67" s="1">
        <v>45558</v>
      </c>
      <c r="B67" t="s">
        <v>8</v>
      </c>
      <c r="C67">
        <v>198</v>
      </c>
      <c r="D67">
        <v>217</v>
      </c>
      <c r="E67">
        <v>239753</v>
      </c>
      <c r="F67">
        <v>7.36</v>
      </c>
      <c r="G67">
        <v>11901</v>
      </c>
    </row>
    <row r="68" spans="1:7" x14ac:dyDescent="0.25">
      <c r="A68" s="1">
        <v>45558</v>
      </c>
      <c r="B68" t="s">
        <v>9</v>
      </c>
      <c r="C68">
        <v>1911</v>
      </c>
      <c r="D68">
        <v>231</v>
      </c>
      <c r="E68">
        <v>268516</v>
      </c>
      <c r="F68">
        <v>8.5500000000000007</v>
      </c>
      <c r="G68">
        <v>24018</v>
      </c>
    </row>
    <row r="69" spans="1:7" x14ac:dyDescent="0.25">
      <c r="A69" s="1">
        <v>45558</v>
      </c>
      <c r="B69" t="s">
        <v>10</v>
      </c>
      <c r="C69">
        <v>1218</v>
      </c>
      <c r="D69">
        <v>212</v>
      </c>
      <c r="E69">
        <v>63177</v>
      </c>
      <c r="F69">
        <v>8.1300000000000008</v>
      </c>
      <c r="G69">
        <v>38883</v>
      </c>
    </row>
    <row r="70" spans="1:7" x14ac:dyDescent="0.25">
      <c r="A70" s="1">
        <v>45565</v>
      </c>
      <c r="B70" t="s">
        <v>7</v>
      </c>
      <c r="C70">
        <v>1433</v>
      </c>
      <c r="D70">
        <v>408</v>
      </c>
      <c r="E70">
        <v>370269</v>
      </c>
      <c r="F70">
        <v>3.3</v>
      </c>
      <c r="G70">
        <v>30575</v>
      </c>
    </row>
    <row r="71" spans="1:7" x14ac:dyDescent="0.25">
      <c r="A71" s="1">
        <v>45565</v>
      </c>
      <c r="B71" t="s">
        <v>8</v>
      </c>
      <c r="C71">
        <v>250</v>
      </c>
      <c r="D71">
        <v>429</v>
      </c>
      <c r="E71">
        <v>453423</v>
      </c>
      <c r="F71">
        <v>1.77</v>
      </c>
      <c r="G71">
        <v>2315</v>
      </c>
    </row>
    <row r="72" spans="1:7" x14ac:dyDescent="0.25">
      <c r="A72" s="1">
        <v>45565</v>
      </c>
      <c r="B72" t="s">
        <v>9</v>
      </c>
      <c r="C72">
        <v>752</v>
      </c>
      <c r="D72">
        <v>153</v>
      </c>
      <c r="E72">
        <v>64906</v>
      </c>
      <c r="F72">
        <v>2.09</v>
      </c>
      <c r="G72">
        <v>12148</v>
      </c>
    </row>
    <row r="73" spans="1:7" x14ac:dyDescent="0.25">
      <c r="A73" s="1">
        <v>45565</v>
      </c>
      <c r="B73" t="s">
        <v>10</v>
      </c>
      <c r="C73">
        <v>1918</v>
      </c>
      <c r="D73">
        <v>212</v>
      </c>
      <c r="E73">
        <v>94360</v>
      </c>
      <c r="F73">
        <v>7.36</v>
      </c>
      <c r="G73">
        <v>36851</v>
      </c>
    </row>
    <row r="74" spans="1:7" x14ac:dyDescent="0.25">
      <c r="A74" s="1">
        <v>45572</v>
      </c>
      <c r="B74" t="s">
        <v>7</v>
      </c>
      <c r="C74">
        <v>1939</v>
      </c>
      <c r="D74">
        <v>67</v>
      </c>
      <c r="E74">
        <v>187183</v>
      </c>
      <c r="F74">
        <v>6.25</v>
      </c>
      <c r="G74">
        <v>41215</v>
      </c>
    </row>
    <row r="75" spans="1:7" x14ac:dyDescent="0.25">
      <c r="A75" s="1">
        <v>45572</v>
      </c>
      <c r="B75" t="s">
        <v>8</v>
      </c>
      <c r="C75">
        <v>1929</v>
      </c>
      <c r="D75">
        <v>267</v>
      </c>
      <c r="E75">
        <v>379363</v>
      </c>
      <c r="F75">
        <v>1.75</v>
      </c>
      <c r="G75">
        <v>43836</v>
      </c>
    </row>
    <row r="76" spans="1:7" x14ac:dyDescent="0.25">
      <c r="A76" s="1">
        <v>45572</v>
      </c>
      <c r="B76" t="s">
        <v>9</v>
      </c>
      <c r="C76">
        <v>437</v>
      </c>
      <c r="D76">
        <v>330</v>
      </c>
      <c r="E76">
        <v>476486</v>
      </c>
      <c r="F76">
        <v>4.97</v>
      </c>
      <c r="G76">
        <v>4509</v>
      </c>
    </row>
    <row r="77" spans="1:7" x14ac:dyDescent="0.25">
      <c r="A77" s="1">
        <v>45572</v>
      </c>
      <c r="B77" t="s">
        <v>10</v>
      </c>
      <c r="C77">
        <v>307</v>
      </c>
      <c r="D77">
        <v>189</v>
      </c>
      <c r="E77">
        <v>117767</v>
      </c>
      <c r="F77">
        <v>9.3000000000000007</v>
      </c>
      <c r="G77">
        <v>27822</v>
      </c>
    </row>
    <row r="78" spans="1:7" x14ac:dyDescent="0.25">
      <c r="A78" s="1">
        <v>45579</v>
      </c>
      <c r="B78" t="s">
        <v>7</v>
      </c>
      <c r="C78">
        <v>1527</v>
      </c>
      <c r="D78">
        <v>303</v>
      </c>
      <c r="E78">
        <v>388555</v>
      </c>
      <c r="F78">
        <v>8.9</v>
      </c>
      <c r="G78">
        <v>36397</v>
      </c>
    </row>
    <row r="79" spans="1:7" x14ac:dyDescent="0.25">
      <c r="A79" s="1">
        <v>45579</v>
      </c>
      <c r="B79" t="s">
        <v>8</v>
      </c>
      <c r="C79">
        <v>643</v>
      </c>
      <c r="D79">
        <v>358</v>
      </c>
      <c r="E79">
        <v>157599</v>
      </c>
      <c r="F79">
        <v>3.88</v>
      </c>
      <c r="G79">
        <v>7285</v>
      </c>
    </row>
    <row r="80" spans="1:7" x14ac:dyDescent="0.25">
      <c r="A80" s="1">
        <v>45579</v>
      </c>
      <c r="B80" t="s">
        <v>9</v>
      </c>
      <c r="C80">
        <v>201</v>
      </c>
      <c r="D80">
        <v>221</v>
      </c>
      <c r="E80">
        <v>309772</v>
      </c>
      <c r="F80">
        <v>5.9</v>
      </c>
      <c r="G80">
        <v>33174</v>
      </c>
    </row>
    <row r="81" spans="1:7" x14ac:dyDescent="0.25">
      <c r="A81" s="1">
        <v>45579</v>
      </c>
      <c r="B81" t="s">
        <v>10</v>
      </c>
      <c r="C81">
        <v>414</v>
      </c>
      <c r="D81">
        <v>47</v>
      </c>
      <c r="E81">
        <v>199178</v>
      </c>
      <c r="F81">
        <v>1.53</v>
      </c>
      <c r="G81">
        <v>6742</v>
      </c>
    </row>
    <row r="82" spans="1:7" x14ac:dyDescent="0.25">
      <c r="A82" s="1">
        <v>45586</v>
      </c>
      <c r="B82" t="s">
        <v>7</v>
      </c>
      <c r="C82">
        <v>703</v>
      </c>
      <c r="D82">
        <v>441</v>
      </c>
      <c r="E82">
        <v>357089</v>
      </c>
      <c r="F82">
        <v>6.5</v>
      </c>
      <c r="G82">
        <v>32478</v>
      </c>
    </row>
    <row r="83" spans="1:7" x14ac:dyDescent="0.25">
      <c r="A83" s="1">
        <v>45586</v>
      </c>
      <c r="B83" t="s">
        <v>8</v>
      </c>
      <c r="C83">
        <v>508</v>
      </c>
      <c r="D83">
        <v>69</v>
      </c>
      <c r="E83">
        <v>23492</v>
      </c>
      <c r="F83">
        <v>3.16</v>
      </c>
      <c r="G83">
        <v>42824</v>
      </c>
    </row>
    <row r="84" spans="1:7" x14ac:dyDescent="0.25">
      <c r="A84" s="1">
        <v>45586</v>
      </c>
      <c r="B84" t="s">
        <v>9</v>
      </c>
      <c r="C84">
        <v>697</v>
      </c>
      <c r="D84">
        <v>61</v>
      </c>
      <c r="E84">
        <v>258287</v>
      </c>
      <c r="F84">
        <v>8.25</v>
      </c>
      <c r="G84">
        <v>21208</v>
      </c>
    </row>
    <row r="85" spans="1:7" x14ac:dyDescent="0.25">
      <c r="A85" s="1">
        <v>45586</v>
      </c>
      <c r="B85" t="s">
        <v>10</v>
      </c>
      <c r="C85">
        <v>1707</v>
      </c>
      <c r="D85">
        <v>223</v>
      </c>
      <c r="E85">
        <v>256910</v>
      </c>
      <c r="F85">
        <v>5.41</v>
      </c>
      <c r="G85">
        <v>44321</v>
      </c>
    </row>
    <row r="86" spans="1:7" x14ac:dyDescent="0.25">
      <c r="A86" s="1">
        <v>45593</v>
      </c>
      <c r="B86" t="s">
        <v>7</v>
      </c>
      <c r="C86">
        <v>642</v>
      </c>
      <c r="D86">
        <v>66</v>
      </c>
      <c r="E86">
        <v>346522</v>
      </c>
      <c r="F86">
        <v>5.85</v>
      </c>
      <c r="G86">
        <v>13116</v>
      </c>
    </row>
    <row r="87" spans="1:7" x14ac:dyDescent="0.25">
      <c r="A87" s="1">
        <v>45593</v>
      </c>
      <c r="B87" t="s">
        <v>8</v>
      </c>
      <c r="C87">
        <v>859</v>
      </c>
      <c r="D87">
        <v>473</v>
      </c>
      <c r="E87">
        <v>209987</v>
      </c>
      <c r="F87">
        <v>4.46</v>
      </c>
      <c r="G87">
        <v>30214</v>
      </c>
    </row>
    <row r="88" spans="1:7" x14ac:dyDescent="0.25">
      <c r="A88" s="1">
        <v>45593</v>
      </c>
      <c r="B88" t="s">
        <v>9</v>
      </c>
      <c r="C88">
        <v>191</v>
      </c>
      <c r="D88">
        <v>154</v>
      </c>
      <c r="E88">
        <v>240550</v>
      </c>
      <c r="F88">
        <v>5.22</v>
      </c>
      <c r="G88">
        <v>15827</v>
      </c>
    </row>
    <row r="89" spans="1:7" x14ac:dyDescent="0.25">
      <c r="A89" s="1">
        <v>45593</v>
      </c>
      <c r="B89" t="s">
        <v>10</v>
      </c>
      <c r="C89">
        <v>1814</v>
      </c>
      <c r="D89">
        <v>157</v>
      </c>
      <c r="E89">
        <v>305827</v>
      </c>
      <c r="F89">
        <v>1.99</v>
      </c>
      <c r="G89">
        <v>46643</v>
      </c>
    </row>
    <row r="90" spans="1:7" x14ac:dyDescent="0.25">
      <c r="A90" s="1">
        <v>45600</v>
      </c>
      <c r="B90" t="s">
        <v>7</v>
      </c>
      <c r="C90">
        <v>1466</v>
      </c>
      <c r="D90">
        <v>69</v>
      </c>
      <c r="E90">
        <v>54935</v>
      </c>
      <c r="F90">
        <v>6.85</v>
      </c>
      <c r="G90">
        <v>36484</v>
      </c>
    </row>
    <row r="91" spans="1:7" x14ac:dyDescent="0.25">
      <c r="A91" s="1">
        <v>45600</v>
      </c>
      <c r="B91" t="s">
        <v>8</v>
      </c>
      <c r="C91">
        <v>947</v>
      </c>
      <c r="D91">
        <v>407</v>
      </c>
      <c r="E91">
        <v>319186</v>
      </c>
      <c r="F91">
        <v>3.32</v>
      </c>
      <c r="G91">
        <v>4996</v>
      </c>
    </row>
    <row r="92" spans="1:7" x14ac:dyDescent="0.25">
      <c r="A92" s="1">
        <v>45600</v>
      </c>
      <c r="B92" t="s">
        <v>9</v>
      </c>
      <c r="C92">
        <v>1821</v>
      </c>
      <c r="D92">
        <v>218</v>
      </c>
      <c r="E92">
        <v>439080</v>
      </c>
      <c r="F92">
        <v>5.68</v>
      </c>
      <c r="G92">
        <v>36095</v>
      </c>
    </row>
    <row r="93" spans="1:7" x14ac:dyDescent="0.25">
      <c r="A93" s="1">
        <v>45600</v>
      </c>
      <c r="B93" t="s">
        <v>10</v>
      </c>
      <c r="C93">
        <v>1507</v>
      </c>
      <c r="D93">
        <v>463</v>
      </c>
      <c r="E93">
        <v>258944</v>
      </c>
      <c r="F93">
        <v>6.08</v>
      </c>
      <c r="G93">
        <v>16443</v>
      </c>
    </row>
    <row r="94" spans="1:7" x14ac:dyDescent="0.25">
      <c r="A94" s="1">
        <v>45607</v>
      </c>
      <c r="B94" t="s">
        <v>7</v>
      </c>
      <c r="C94">
        <v>1075</v>
      </c>
      <c r="D94">
        <v>173</v>
      </c>
      <c r="E94">
        <v>51395</v>
      </c>
      <c r="F94">
        <v>4.66</v>
      </c>
      <c r="G94">
        <v>47812</v>
      </c>
    </row>
    <row r="95" spans="1:7" x14ac:dyDescent="0.25">
      <c r="A95" s="1">
        <v>45607</v>
      </c>
      <c r="B95" t="s">
        <v>8</v>
      </c>
      <c r="C95">
        <v>171</v>
      </c>
      <c r="D95">
        <v>277</v>
      </c>
      <c r="E95">
        <v>309483</v>
      </c>
      <c r="F95">
        <v>8.6999999999999993</v>
      </c>
      <c r="G95">
        <v>38452</v>
      </c>
    </row>
    <row r="96" spans="1:7" x14ac:dyDescent="0.25">
      <c r="A96" s="1">
        <v>45607</v>
      </c>
      <c r="B96" t="s">
        <v>9</v>
      </c>
      <c r="C96">
        <v>1487</v>
      </c>
      <c r="D96">
        <v>337</v>
      </c>
      <c r="E96">
        <v>87305</v>
      </c>
      <c r="F96">
        <v>2.46</v>
      </c>
      <c r="G96">
        <v>30428</v>
      </c>
    </row>
    <row r="97" spans="1:7" x14ac:dyDescent="0.25">
      <c r="A97" s="1">
        <v>45607</v>
      </c>
      <c r="B97" t="s">
        <v>10</v>
      </c>
      <c r="C97">
        <v>454</v>
      </c>
      <c r="D97">
        <v>105</v>
      </c>
      <c r="E97">
        <v>121091</v>
      </c>
      <c r="F97">
        <v>7.97</v>
      </c>
      <c r="G97">
        <v>9269</v>
      </c>
    </row>
    <row r="98" spans="1:7" x14ac:dyDescent="0.25">
      <c r="A98" s="1">
        <v>45614</v>
      </c>
      <c r="B98" t="s">
        <v>7</v>
      </c>
      <c r="C98">
        <v>187</v>
      </c>
      <c r="D98">
        <v>236</v>
      </c>
      <c r="E98">
        <v>51087</v>
      </c>
      <c r="F98">
        <v>9.41</v>
      </c>
      <c r="G98">
        <v>29533</v>
      </c>
    </row>
    <row r="99" spans="1:7" x14ac:dyDescent="0.25">
      <c r="A99" s="1">
        <v>45614</v>
      </c>
      <c r="B99" t="s">
        <v>8</v>
      </c>
      <c r="C99">
        <v>513</v>
      </c>
      <c r="D99">
        <v>441</v>
      </c>
      <c r="E99">
        <v>338847</v>
      </c>
      <c r="F99">
        <v>2.68</v>
      </c>
      <c r="G99">
        <v>39997</v>
      </c>
    </row>
    <row r="100" spans="1:7" x14ac:dyDescent="0.25">
      <c r="A100" s="1">
        <v>45614</v>
      </c>
      <c r="B100" t="s">
        <v>9</v>
      </c>
      <c r="C100">
        <v>628</v>
      </c>
      <c r="D100">
        <v>183</v>
      </c>
      <c r="E100">
        <v>487523</v>
      </c>
      <c r="F100">
        <v>7.32</v>
      </c>
      <c r="G100">
        <v>5391</v>
      </c>
    </row>
    <row r="101" spans="1:7" x14ac:dyDescent="0.25">
      <c r="A101" s="1">
        <v>45614</v>
      </c>
      <c r="B101" t="s">
        <v>10</v>
      </c>
      <c r="C101">
        <v>278</v>
      </c>
      <c r="D101">
        <v>218</v>
      </c>
      <c r="E101">
        <v>301695</v>
      </c>
      <c r="F101">
        <v>4.68</v>
      </c>
      <c r="G101">
        <v>22373</v>
      </c>
    </row>
    <row r="102" spans="1:7" x14ac:dyDescent="0.25">
      <c r="A102" s="1">
        <v>45621</v>
      </c>
      <c r="B102" t="s">
        <v>7</v>
      </c>
      <c r="C102">
        <v>1854</v>
      </c>
      <c r="D102">
        <v>161</v>
      </c>
      <c r="E102">
        <v>282466</v>
      </c>
      <c r="F102">
        <v>5.17</v>
      </c>
      <c r="G102">
        <v>1810</v>
      </c>
    </row>
    <row r="103" spans="1:7" x14ac:dyDescent="0.25">
      <c r="A103" s="1">
        <v>45621</v>
      </c>
      <c r="B103" t="s">
        <v>8</v>
      </c>
      <c r="C103">
        <v>1710</v>
      </c>
      <c r="D103">
        <v>378</v>
      </c>
      <c r="E103">
        <v>336661</v>
      </c>
      <c r="F103">
        <v>6.2</v>
      </c>
      <c r="G103">
        <v>28498</v>
      </c>
    </row>
    <row r="104" spans="1:7" x14ac:dyDescent="0.25">
      <c r="A104" s="1">
        <v>45621</v>
      </c>
      <c r="B104" t="s">
        <v>9</v>
      </c>
      <c r="C104">
        <v>330</v>
      </c>
      <c r="D104">
        <v>232</v>
      </c>
      <c r="E104">
        <v>88455</v>
      </c>
      <c r="F104">
        <v>2.69</v>
      </c>
      <c r="G104">
        <v>39530</v>
      </c>
    </row>
    <row r="105" spans="1:7" x14ac:dyDescent="0.25">
      <c r="A105" s="1">
        <v>45621</v>
      </c>
      <c r="B105" t="s">
        <v>10</v>
      </c>
      <c r="C105">
        <v>1293</v>
      </c>
      <c r="D105">
        <v>408</v>
      </c>
      <c r="E105">
        <v>62535</v>
      </c>
      <c r="F105">
        <v>8.9</v>
      </c>
      <c r="G105">
        <v>37876</v>
      </c>
    </row>
    <row r="106" spans="1:7" x14ac:dyDescent="0.25">
      <c r="A106" s="1">
        <v>45628</v>
      </c>
      <c r="B106" t="s">
        <v>7</v>
      </c>
      <c r="C106">
        <v>1696</v>
      </c>
      <c r="D106">
        <v>71</v>
      </c>
      <c r="E106">
        <v>421957</v>
      </c>
      <c r="F106">
        <v>3.79</v>
      </c>
      <c r="G106">
        <v>36103</v>
      </c>
    </row>
    <row r="107" spans="1:7" x14ac:dyDescent="0.25">
      <c r="A107" s="1">
        <v>45628</v>
      </c>
      <c r="B107" t="s">
        <v>8</v>
      </c>
      <c r="C107">
        <v>1902</v>
      </c>
      <c r="D107">
        <v>196</v>
      </c>
      <c r="E107">
        <v>470269</v>
      </c>
      <c r="F107">
        <v>4.79</v>
      </c>
      <c r="G107">
        <v>26103</v>
      </c>
    </row>
    <row r="108" spans="1:7" x14ac:dyDescent="0.25">
      <c r="A108" s="1">
        <v>45628</v>
      </c>
      <c r="B108" t="s">
        <v>9</v>
      </c>
      <c r="C108">
        <v>1441</v>
      </c>
      <c r="D108">
        <v>268</v>
      </c>
      <c r="E108">
        <v>309904</v>
      </c>
      <c r="F108">
        <v>6.37</v>
      </c>
      <c r="G108">
        <v>3455</v>
      </c>
    </row>
    <row r="109" spans="1:7" x14ac:dyDescent="0.25">
      <c r="A109" s="1">
        <v>45628</v>
      </c>
      <c r="B109" t="s">
        <v>10</v>
      </c>
      <c r="C109">
        <v>452</v>
      </c>
      <c r="D109">
        <v>161</v>
      </c>
      <c r="E109">
        <v>221274</v>
      </c>
      <c r="F109">
        <v>2.65</v>
      </c>
      <c r="G109">
        <v>40888</v>
      </c>
    </row>
    <row r="110" spans="1:7" x14ac:dyDescent="0.25">
      <c r="A110" s="1">
        <v>45635</v>
      </c>
      <c r="B110" t="s">
        <v>7</v>
      </c>
      <c r="C110">
        <v>1494</v>
      </c>
      <c r="D110">
        <v>375</v>
      </c>
      <c r="E110">
        <v>220616</v>
      </c>
      <c r="F110">
        <v>1.81</v>
      </c>
      <c r="G110">
        <v>22724</v>
      </c>
    </row>
    <row r="111" spans="1:7" x14ac:dyDescent="0.25">
      <c r="A111" s="1">
        <v>45635</v>
      </c>
      <c r="B111" t="s">
        <v>8</v>
      </c>
      <c r="C111">
        <v>1514</v>
      </c>
      <c r="D111">
        <v>141</v>
      </c>
      <c r="E111">
        <v>35842</v>
      </c>
      <c r="F111">
        <v>7.47</v>
      </c>
      <c r="G111">
        <v>18601</v>
      </c>
    </row>
    <row r="112" spans="1:7" x14ac:dyDescent="0.25">
      <c r="A112" s="1">
        <v>45635</v>
      </c>
      <c r="B112" t="s">
        <v>9</v>
      </c>
      <c r="C112">
        <v>1937</v>
      </c>
      <c r="D112">
        <v>210</v>
      </c>
      <c r="E112">
        <v>20607</v>
      </c>
      <c r="F112">
        <v>4.2</v>
      </c>
      <c r="G112">
        <v>20861</v>
      </c>
    </row>
    <row r="113" spans="1:7" x14ac:dyDescent="0.25">
      <c r="A113" s="1">
        <v>45635</v>
      </c>
      <c r="B113" t="s">
        <v>10</v>
      </c>
      <c r="C113">
        <v>736</v>
      </c>
      <c r="D113">
        <v>163</v>
      </c>
      <c r="E113">
        <v>451894</v>
      </c>
      <c r="F113">
        <v>5.43</v>
      </c>
      <c r="G113">
        <v>46625</v>
      </c>
    </row>
    <row r="114" spans="1:7" x14ac:dyDescent="0.25">
      <c r="A114" s="1">
        <v>45642</v>
      </c>
      <c r="B114" t="s">
        <v>7</v>
      </c>
      <c r="C114">
        <v>1502</v>
      </c>
      <c r="D114">
        <v>70</v>
      </c>
      <c r="E114">
        <v>465553</v>
      </c>
      <c r="F114">
        <v>3.32</v>
      </c>
      <c r="G114">
        <v>20692</v>
      </c>
    </row>
    <row r="115" spans="1:7" x14ac:dyDescent="0.25">
      <c r="A115" s="1">
        <v>45642</v>
      </c>
      <c r="B115" t="s">
        <v>8</v>
      </c>
      <c r="C115">
        <v>1623</v>
      </c>
      <c r="D115">
        <v>246</v>
      </c>
      <c r="E115">
        <v>415815</v>
      </c>
      <c r="F115">
        <v>8.11</v>
      </c>
      <c r="G115">
        <v>18656</v>
      </c>
    </row>
    <row r="116" spans="1:7" x14ac:dyDescent="0.25">
      <c r="A116" s="1">
        <v>45642</v>
      </c>
      <c r="B116" t="s">
        <v>9</v>
      </c>
      <c r="C116">
        <v>1592</v>
      </c>
      <c r="D116">
        <v>233</v>
      </c>
      <c r="E116">
        <v>327183</v>
      </c>
      <c r="F116">
        <v>6.66</v>
      </c>
      <c r="G116">
        <v>13316</v>
      </c>
    </row>
    <row r="117" spans="1:7" x14ac:dyDescent="0.25">
      <c r="A117" s="1">
        <v>45642</v>
      </c>
      <c r="B117" t="s">
        <v>10</v>
      </c>
      <c r="C117">
        <v>1004</v>
      </c>
      <c r="D117">
        <v>128</v>
      </c>
      <c r="E117">
        <v>488901</v>
      </c>
      <c r="F117">
        <v>8.09</v>
      </c>
      <c r="G117">
        <v>49558</v>
      </c>
    </row>
    <row r="118" spans="1:7" x14ac:dyDescent="0.25">
      <c r="A118" s="1">
        <v>45649</v>
      </c>
      <c r="B118" t="s">
        <v>7</v>
      </c>
      <c r="C118">
        <v>1092</v>
      </c>
      <c r="D118">
        <v>408</v>
      </c>
      <c r="E118">
        <v>280795</v>
      </c>
      <c r="F118">
        <v>8.44</v>
      </c>
      <c r="G118">
        <v>4683</v>
      </c>
    </row>
    <row r="119" spans="1:7" x14ac:dyDescent="0.25">
      <c r="A119" s="1">
        <v>45649</v>
      </c>
      <c r="B119" t="s">
        <v>8</v>
      </c>
      <c r="C119">
        <v>1155</v>
      </c>
      <c r="D119">
        <v>425</v>
      </c>
      <c r="E119">
        <v>93347</v>
      </c>
      <c r="F119">
        <v>2.02</v>
      </c>
      <c r="G119">
        <v>47502</v>
      </c>
    </row>
    <row r="120" spans="1:7" x14ac:dyDescent="0.25">
      <c r="A120" s="1">
        <v>45649</v>
      </c>
      <c r="B120" t="s">
        <v>9</v>
      </c>
      <c r="C120">
        <v>1137</v>
      </c>
      <c r="D120">
        <v>226</v>
      </c>
      <c r="E120">
        <v>81119</v>
      </c>
      <c r="F120">
        <v>7.74</v>
      </c>
      <c r="G120">
        <v>35359</v>
      </c>
    </row>
    <row r="121" spans="1:7" x14ac:dyDescent="0.25">
      <c r="A121" s="1">
        <v>45649</v>
      </c>
      <c r="B121" t="s">
        <v>10</v>
      </c>
      <c r="C121">
        <v>1900</v>
      </c>
      <c r="D121">
        <v>311</v>
      </c>
      <c r="E121">
        <v>25177</v>
      </c>
      <c r="F121">
        <v>2.89</v>
      </c>
      <c r="G121">
        <v>14154</v>
      </c>
    </row>
    <row r="122" spans="1:7" x14ac:dyDescent="0.25">
      <c r="A122" s="1">
        <v>45656</v>
      </c>
      <c r="B122" t="s">
        <v>7</v>
      </c>
      <c r="C122">
        <v>1814</v>
      </c>
      <c r="D122">
        <v>49</v>
      </c>
      <c r="E122">
        <v>140804</v>
      </c>
      <c r="F122">
        <v>1.76</v>
      </c>
      <c r="G122">
        <v>4313</v>
      </c>
    </row>
    <row r="123" spans="1:7" x14ac:dyDescent="0.25">
      <c r="A123" s="1">
        <v>45656</v>
      </c>
      <c r="B123" t="s">
        <v>8</v>
      </c>
      <c r="C123">
        <v>1980</v>
      </c>
      <c r="D123">
        <v>204</v>
      </c>
      <c r="E123">
        <v>379431</v>
      </c>
      <c r="F123">
        <v>3.09</v>
      </c>
      <c r="G123">
        <v>25140</v>
      </c>
    </row>
    <row r="124" spans="1:7" x14ac:dyDescent="0.25">
      <c r="A124" s="1">
        <v>45656</v>
      </c>
      <c r="B124" t="s">
        <v>9</v>
      </c>
      <c r="C124">
        <v>1786</v>
      </c>
      <c r="D124">
        <v>257</v>
      </c>
      <c r="E124">
        <v>274831</v>
      </c>
      <c r="F124">
        <v>4.68</v>
      </c>
      <c r="G124">
        <v>9118</v>
      </c>
    </row>
    <row r="125" spans="1:7" x14ac:dyDescent="0.25">
      <c r="A125" s="1">
        <v>45656</v>
      </c>
      <c r="B125" t="s">
        <v>10</v>
      </c>
      <c r="C125">
        <v>1495</v>
      </c>
      <c r="D125">
        <v>35</v>
      </c>
      <c r="E125">
        <v>136845</v>
      </c>
      <c r="F125">
        <v>4.4800000000000004</v>
      </c>
      <c r="G125">
        <v>39931</v>
      </c>
    </row>
    <row r="126" spans="1:7" x14ac:dyDescent="0.25">
      <c r="A126" s="1">
        <v>45663</v>
      </c>
      <c r="B126" t="s">
        <v>7</v>
      </c>
      <c r="C126">
        <v>1013</v>
      </c>
      <c r="D126">
        <v>110</v>
      </c>
      <c r="E126">
        <v>466382</v>
      </c>
      <c r="F126">
        <v>5.3</v>
      </c>
      <c r="G126">
        <v>37132</v>
      </c>
    </row>
    <row r="127" spans="1:7" x14ac:dyDescent="0.25">
      <c r="A127" s="1">
        <v>45663</v>
      </c>
      <c r="B127" t="s">
        <v>8</v>
      </c>
      <c r="C127">
        <v>816</v>
      </c>
      <c r="D127">
        <v>196</v>
      </c>
      <c r="E127">
        <v>95728</v>
      </c>
      <c r="F127">
        <v>8.1999999999999993</v>
      </c>
      <c r="G127">
        <v>17951</v>
      </c>
    </row>
    <row r="128" spans="1:7" x14ac:dyDescent="0.25">
      <c r="A128" s="1">
        <v>45663</v>
      </c>
      <c r="B128" t="s">
        <v>9</v>
      </c>
      <c r="C128">
        <v>1633</v>
      </c>
      <c r="D128">
        <v>445</v>
      </c>
      <c r="E128">
        <v>371156</v>
      </c>
      <c r="F128">
        <v>2.2200000000000002</v>
      </c>
      <c r="G128">
        <v>2798</v>
      </c>
    </row>
    <row r="129" spans="1:7" x14ac:dyDescent="0.25">
      <c r="A129" s="1">
        <v>45663</v>
      </c>
      <c r="B129" t="s">
        <v>10</v>
      </c>
      <c r="C129">
        <v>891</v>
      </c>
      <c r="D129">
        <v>45</v>
      </c>
      <c r="E129">
        <v>95410</v>
      </c>
      <c r="F129">
        <v>8.33</v>
      </c>
      <c r="G129">
        <v>15045</v>
      </c>
    </row>
    <row r="130" spans="1:7" x14ac:dyDescent="0.25">
      <c r="A130" s="1">
        <v>45670</v>
      </c>
      <c r="B130" t="s">
        <v>7</v>
      </c>
      <c r="C130">
        <v>1855</v>
      </c>
      <c r="D130">
        <v>133</v>
      </c>
      <c r="E130">
        <v>349413</v>
      </c>
      <c r="F130">
        <v>3.3</v>
      </c>
      <c r="G130">
        <v>14548</v>
      </c>
    </row>
    <row r="131" spans="1:7" x14ac:dyDescent="0.25">
      <c r="A131" s="1">
        <v>45670</v>
      </c>
      <c r="B131" t="s">
        <v>8</v>
      </c>
      <c r="C131">
        <v>651</v>
      </c>
      <c r="D131">
        <v>353</v>
      </c>
      <c r="E131">
        <v>224699</v>
      </c>
      <c r="F131">
        <v>5.61</v>
      </c>
      <c r="G131">
        <v>45708</v>
      </c>
    </row>
    <row r="132" spans="1:7" x14ac:dyDescent="0.25">
      <c r="A132" s="1">
        <v>45670</v>
      </c>
      <c r="B132" t="s">
        <v>9</v>
      </c>
      <c r="C132">
        <v>118</v>
      </c>
      <c r="D132">
        <v>262</v>
      </c>
      <c r="E132">
        <v>487896</v>
      </c>
      <c r="F132">
        <v>2.56</v>
      </c>
      <c r="G132">
        <v>12350</v>
      </c>
    </row>
    <row r="133" spans="1:7" x14ac:dyDescent="0.25">
      <c r="A133" s="1">
        <v>45670</v>
      </c>
      <c r="B133" t="s">
        <v>10</v>
      </c>
      <c r="C133">
        <v>1331</v>
      </c>
      <c r="D133">
        <v>430</v>
      </c>
      <c r="E133">
        <v>14437</v>
      </c>
      <c r="F133">
        <v>3.29</v>
      </c>
      <c r="G133">
        <v>40868</v>
      </c>
    </row>
    <row r="134" spans="1:7" x14ac:dyDescent="0.25">
      <c r="A134" s="1">
        <v>45677</v>
      </c>
      <c r="B134" t="s">
        <v>7</v>
      </c>
      <c r="C134">
        <v>1748</v>
      </c>
      <c r="D134">
        <v>176</v>
      </c>
      <c r="E134">
        <v>383681</v>
      </c>
      <c r="F134">
        <v>9.24</v>
      </c>
      <c r="G134">
        <v>43122</v>
      </c>
    </row>
    <row r="135" spans="1:7" x14ac:dyDescent="0.25">
      <c r="A135" s="1">
        <v>45677</v>
      </c>
      <c r="B135" t="s">
        <v>8</v>
      </c>
      <c r="C135">
        <v>663</v>
      </c>
      <c r="D135">
        <v>236</v>
      </c>
      <c r="E135">
        <v>479490</v>
      </c>
      <c r="F135">
        <v>4.51</v>
      </c>
      <c r="G135">
        <v>23853</v>
      </c>
    </row>
    <row r="136" spans="1:7" x14ac:dyDescent="0.25">
      <c r="A136" s="1">
        <v>45677</v>
      </c>
      <c r="B136" t="s">
        <v>9</v>
      </c>
      <c r="C136">
        <v>1040</v>
      </c>
      <c r="D136">
        <v>149</v>
      </c>
      <c r="E136">
        <v>124404</v>
      </c>
      <c r="F136">
        <v>5.23</v>
      </c>
      <c r="G136">
        <v>45380</v>
      </c>
    </row>
    <row r="137" spans="1:7" x14ac:dyDescent="0.25">
      <c r="A137" s="1">
        <v>45677</v>
      </c>
      <c r="B137" t="s">
        <v>10</v>
      </c>
      <c r="C137">
        <v>1166</v>
      </c>
      <c r="D137">
        <v>442</v>
      </c>
      <c r="E137">
        <v>336949</v>
      </c>
      <c r="F137">
        <v>4.68</v>
      </c>
      <c r="G137">
        <v>7705</v>
      </c>
    </row>
    <row r="138" spans="1:7" x14ac:dyDescent="0.25">
      <c r="A138" s="1">
        <v>45684</v>
      </c>
      <c r="B138" t="s">
        <v>7</v>
      </c>
      <c r="C138">
        <v>115</v>
      </c>
      <c r="D138">
        <v>281</v>
      </c>
      <c r="E138">
        <v>357265</v>
      </c>
      <c r="F138">
        <v>9.23</v>
      </c>
      <c r="G138">
        <v>25525</v>
      </c>
    </row>
    <row r="139" spans="1:7" x14ac:dyDescent="0.25">
      <c r="A139" s="1">
        <v>45684</v>
      </c>
      <c r="B139" t="s">
        <v>8</v>
      </c>
      <c r="C139">
        <v>1249</v>
      </c>
      <c r="D139">
        <v>351</v>
      </c>
      <c r="E139">
        <v>321307</v>
      </c>
      <c r="F139">
        <v>6.37</v>
      </c>
      <c r="G139">
        <v>20560</v>
      </c>
    </row>
    <row r="140" spans="1:7" x14ac:dyDescent="0.25">
      <c r="A140" s="1">
        <v>45684</v>
      </c>
      <c r="B140" t="s">
        <v>9</v>
      </c>
      <c r="C140">
        <v>1501</v>
      </c>
      <c r="D140">
        <v>75</v>
      </c>
      <c r="E140">
        <v>262569</v>
      </c>
      <c r="F140">
        <v>2.0099999999999998</v>
      </c>
      <c r="G140">
        <v>19119</v>
      </c>
    </row>
    <row r="141" spans="1:7" x14ac:dyDescent="0.25">
      <c r="A141" s="1">
        <v>45684</v>
      </c>
      <c r="B141" t="s">
        <v>10</v>
      </c>
      <c r="C141">
        <v>1411</v>
      </c>
      <c r="D141">
        <v>186</v>
      </c>
      <c r="E141">
        <v>461669</v>
      </c>
      <c r="F141">
        <v>3.72</v>
      </c>
      <c r="G141">
        <v>43999</v>
      </c>
    </row>
    <row r="142" spans="1:7" x14ac:dyDescent="0.25">
      <c r="A142" s="1">
        <v>45691</v>
      </c>
      <c r="B142" t="s">
        <v>7</v>
      </c>
      <c r="C142">
        <v>1556</v>
      </c>
      <c r="D142">
        <v>476</v>
      </c>
      <c r="E142">
        <v>351556</v>
      </c>
      <c r="F142">
        <v>3.89</v>
      </c>
      <c r="G142">
        <v>10825</v>
      </c>
    </row>
    <row r="143" spans="1:7" x14ac:dyDescent="0.25">
      <c r="A143" s="1">
        <v>45691</v>
      </c>
      <c r="B143" t="s">
        <v>8</v>
      </c>
      <c r="C143">
        <v>1159</v>
      </c>
      <c r="D143">
        <v>411</v>
      </c>
      <c r="E143">
        <v>135987</v>
      </c>
      <c r="F143">
        <v>8.6999999999999993</v>
      </c>
      <c r="G143">
        <v>40323</v>
      </c>
    </row>
    <row r="144" spans="1:7" x14ac:dyDescent="0.25">
      <c r="A144" s="1">
        <v>45691</v>
      </c>
      <c r="B144" t="s">
        <v>9</v>
      </c>
      <c r="C144">
        <v>927</v>
      </c>
      <c r="D144">
        <v>358</v>
      </c>
      <c r="E144">
        <v>177554</v>
      </c>
      <c r="F144">
        <v>6.95</v>
      </c>
      <c r="G144">
        <v>48270</v>
      </c>
    </row>
    <row r="145" spans="1:7" x14ac:dyDescent="0.25">
      <c r="A145" s="1">
        <v>45691</v>
      </c>
      <c r="B145" t="s">
        <v>10</v>
      </c>
      <c r="C145">
        <v>152</v>
      </c>
      <c r="D145">
        <v>355</v>
      </c>
      <c r="E145">
        <v>270766</v>
      </c>
      <c r="F145">
        <v>9.48</v>
      </c>
      <c r="G145">
        <v>18001</v>
      </c>
    </row>
    <row r="146" spans="1:7" x14ac:dyDescent="0.25">
      <c r="A146" s="1">
        <v>45698</v>
      </c>
      <c r="B146" t="s">
        <v>7</v>
      </c>
      <c r="C146">
        <v>1957</v>
      </c>
      <c r="D146">
        <v>234</v>
      </c>
      <c r="E146">
        <v>222126</v>
      </c>
      <c r="F146">
        <v>4.6100000000000003</v>
      </c>
      <c r="G146">
        <v>3314</v>
      </c>
    </row>
    <row r="147" spans="1:7" x14ac:dyDescent="0.25">
      <c r="A147" s="1">
        <v>45698</v>
      </c>
      <c r="B147" t="s">
        <v>8</v>
      </c>
      <c r="C147">
        <v>1294</v>
      </c>
      <c r="D147">
        <v>382</v>
      </c>
      <c r="E147">
        <v>309914</v>
      </c>
      <c r="F147">
        <v>8.0299999999999994</v>
      </c>
      <c r="G147">
        <v>23489</v>
      </c>
    </row>
    <row r="148" spans="1:7" x14ac:dyDescent="0.25">
      <c r="A148" s="1">
        <v>45698</v>
      </c>
      <c r="B148" t="s">
        <v>9</v>
      </c>
      <c r="C148">
        <v>1587</v>
      </c>
      <c r="D148">
        <v>385</v>
      </c>
      <c r="E148">
        <v>126582</v>
      </c>
      <c r="F148">
        <v>6.99</v>
      </c>
      <c r="G148">
        <v>42832</v>
      </c>
    </row>
    <row r="149" spans="1:7" x14ac:dyDescent="0.25">
      <c r="A149" s="1">
        <v>45698</v>
      </c>
      <c r="B149" t="s">
        <v>10</v>
      </c>
      <c r="C149">
        <v>1707</v>
      </c>
      <c r="D149">
        <v>263</v>
      </c>
      <c r="E149">
        <v>485280</v>
      </c>
      <c r="F149">
        <v>9.0299999999999994</v>
      </c>
      <c r="G149">
        <v>24494</v>
      </c>
    </row>
    <row r="150" spans="1:7" x14ac:dyDescent="0.25">
      <c r="A150" s="1">
        <v>45705</v>
      </c>
      <c r="B150" t="s">
        <v>7</v>
      </c>
      <c r="C150">
        <v>1138</v>
      </c>
      <c r="D150">
        <v>173</v>
      </c>
      <c r="E150">
        <v>453243</v>
      </c>
      <c r="F150">
        <v>2.86</v>
      </c>
      <c r="G150">
        <v>44097</v>
      </c>
    </row>
    <row r="151" spans="1:7" x14ac:dyDescent="0.25">
      <c r="A151" s="1">
        <v>45705</v>
      </c>
      <c r="B151" t="s">
        <v>8</v>
      </c>
      <c r="C151">
        <v>1895</v>
      </c>
      <c r="D151">
        <v>305</v>
      </c>
      <c r="E151">
        <v>104967</v>
      </c>
      <c r="F151">
        <v>3.85</v>
      </c>
      <c r="G151">
        <v>31853</v>
      </c>
    </row>
    <row r="152" spans="1:7" x14ac:dyDescent="0.25">
      <c r="A152" s="1">
        <v>45705</v>
      </c>
      <c r="B152" t="s">
        <v>9</v>
      </c>
      <c r="C152">
        <v>362</v>
      </c>
      <c r="D152">
        <v>399</v>
      </c>
      <c r="E152">
        <v>145608</v>
      </c>
      <c r="F152">
        <v>7.3</v>
      </c>
      <c r="G152">
        <v>37636</v>
      </c>
    </row>
    <row r="153" spans="1:7" x14ac:dyDescent="0.25">
      <c r="A153" s="1">
        <v>45705</v>
      </c>
      <c r="B153" t="s">
        <v>10</v>
      </c>
      <c r="C153">
        <v>1662</v>
      </c>
      <c r="D153">
        <v>487</v>
      </c>
      <c r="E153">
        <v>105980</v>
      </c>
      <c r="F153">
        <v>9.08</v>
      </c>
      <c r="G153">
        <v>22996</v>
      </c>
    </row>
    <row r="154" spans="1:7" x14ac:dyDescent="0.25">
      <c r="A154" s="1">
        <v>45712</v>
      </c>
      <c r="B154" t="s">
        <v>7</v>
      </c>
      <c r="C154">
        <v>1440</v>
      </c>
      <c r="D154">
        <v>65</v>
      </c>
      <c r="E154">
        <v>126524</v>
      </c>
      <c r="F154">
        <v>4.34</v>
      </c>
      <c r="G154">
        <v>49772</v>
      </c>
    </row>
    <row r="155" spans="1:7" x14ac:dyDescent="0.25">
      <c r="A155" s="1">
        <v>45712</v>
      </c>
      <c r="B155" t="s">
        <v>8</v>
      </c>
      <c r="C155">
        <v>1884</v>
      </c>
      <c r="D155">
        <v>177</v>
      </c>
      <c r="E155">
        <v>230448</v>
      </c>
      <c r="F155">
        <v>7.8</v>
      </c>
      <c r="G155">
        <v>22713</v>
      </c>
    </row>
    <row r="156" spans="1:7" x14ac:dyDescent="0.25">
      <c r="A156" s="1">
        <v>45712</v>
      </c>
      <c r="B156" t="s">
        <v>9</v>
      </c>
      <c r="C156">
        <v>861</v>
      </c>
      <c r="D156">
        <v>153</v>
      </c>
      <c r="E156">
        <v>317007</v>
      </c>
      <c r="F156">
        <v>3.85</v>
      </c>
      <c r="G156">
        <v>8718</v>
      </c>
    </row>
    <row r="157" spans="1:7" x14ac:dyDescent="0.25">
      <c r="A157" s="1">
        <v>45712</v>
      </c>
      <c r="B157" t="s">
        <v>10</v>
      </c>
      <c r="C157">
        <v>1063</v>
      </c>
      <c r="D157">
        <v>47</v>
      </c>
      <c r="E157">
        <v>464239</v>
      </c>
      <c r="F157">
        <v>6.58</v>
      </c>
      <c r="G157">
        <v>39031</v>
      </c>
    </row>
    <row r="158" spans="1:7" x14ac:dyDescent="0.25">
      <c r="A158" s="1">
        <v>45719</v>
      </c>
      <c r="B158" t="s">
        <v>7</v>
      </c>
      <c r="C158">
        <v>1371</v>
      </c>
      <c r="D158">
        <v>56</v>
      </c>
      <c r="E158">
        <v>257579</v>
      </c>
      <c r="F158">
        <v>8.6199999999999992</v>
      </c>
      <c r="G158">
        <v>33799</v>
      </c>
    </row>
    <row r="159" spans="1:7" x14ac:dyDescent="0.25">
      <c r="A159" s="1">
        <v>45719</v>
      </c>
      <c r="B159" t="s">
        <v>8</v>
      </c>
      <c r="C159">
        <v>345</v>
      </c>
      <c r="D159">
        <v>464</v>
      </c>
      <c r="E159">
        <v>366881</v>
      </c>
      <c r="F159">
        <v>4.55</v>
      </c>
      <c r="G159">
        <v>20553</v>
      </c>
    </row>
    <row r="160" spans="1:7" x14ac:dyDescent="0.25">
      <c r="A160" s="1">
        <v>45719</v>
      </c>
      <c r="B160" t="s">
        <v>9</v>
      </c>
      <c r="C160">
        <v>946</v>
      </c>
      <c r="D160">
        <v>47</v>
      </c>
      <c r="E160">
        <v>466575</v>
      </c>
      <c r="F160">
        <v>8.33</v>
      </c>
      <c r="G160">
        <v>10002</v>
      </c>
    </row>
    <row r="161" spans="1:7" x14ac:dyDescent="0.25">
      <c r="A161" s="1">
        <v>45719</v>
      </c>
      <c r="B161" t="s">
        <v>10</v>
      </c>
      <c r="C161">
        <v>510</v>
      </c>
      <c r="D161">
        <v>195</v>
      </c>
      <c r="E161">
        <v>224534</v>
      </c>
      <c r="F161">
        <v>9.4</v>
      </c>
      <c r="G161">
        <v>30987</v>
      </c>
    </row>
    <row r="162" spans="1:7" x14ac:dyDescent="0.25">
      <c r="A162" s="1">
        <v>45726</v>
      </c>
      <c r="B162" t="s">
        <v>7</v>
      </c>
      <c r="C162">
        <v>393</v>
      </c>
      <c r="D162">
        <v>181</v>
      </c>
      <c r="E162">
        <v>462142</v>
      </c>
      <c r="F162">
        <v>7.23</v>
      </c>
      <c r="G162">
        <v>6296</v>
      </c>
    </row>
    <row r="163" spans="1:7" x14ac:dyDescent="0.25">
      <c r="A163" s="1">
        <v>45726</v>
      </c>
      <c r="B163" t="s">
        <v>8</v>
      </c>
      <c r="C163">
        <v>1098</v>
      </c>
      <c r="D163">
        <v>190</v>
      </c>
      <c r="E163">
        <v>340842</v>
      </c>
      <c r="F163">
        <v>9.39</v>
      </c>
      <c r="G163">
        <v>21539</v>
      </c>
    </row>
    <row r="164" spans="1:7" x14ac:dyDescent="0.25">
      <c r="A164" s="1">
        <v>45726</v>
      </c>
      <c r="B164" t="s">
        <v>9</v>
      </c>
      <c r="C164">
        <v>1399</v>
      </c>
      <c r="D164">
        <v>49</v>
      </c>
      <c r="E164">
        <v>12471</v>
      </c>
      <c r="F164">
        <v>5.12</v>
      </c>
      <c r="G164">
        <v>14722</v>
      </c>
    </row>
    <row r="165" spans="1:7" x14ac:dyDescent="0.25">
      <c r="A165" s="1">
        <v>45726</v>
      </c>
      <c r="B165" t="s">
        <v>10</v>
      </c>
      <c r="C165">
        <v>1658</v>
      </c>
      <c r="D165">
        <v>416</v>
      </c>
      <c r="E165">
        <v>98397</v>
      </c>
      <c r="F165">
        <v>6.11</v>
      </c>
      <c r="G165">
        <v>11383</v>
      </c>
    </row>
    <row r="166" spans="1:7" x14ac:dyDescent="0.25">
      <c r="A166" s="1">
        <v>45733</v>
      </c>
      <c r="B166" t="s">
        <v>7</v>
      </c>
      <c r="C166">
        <v>1102</v>
      </c>
      <c r="D166">
        <v>422</v>
      </c>
      <c r="E166">
        <v>410330</v>
      </c>
      <c r="F166">
        <v>7.74</v>
      </c>
      <c r="G166">
        <v>9480</v>
      </c>
    </row>
    <row r="167" spans="1:7" x14ac:dyDescent="0.25">
      <c r="A167" s="1">
        <v>45733</v>
      </c>
      <c r="B167" t="s">
        <v>8</v>
      </c>
      <c r="C167">
        <v>1358</v>
      </c>
      <c r="D167">
        <v>242</v>
      </c>
      <c r="E167">
        <v>342129</v>
      </c>
      <c r="F167">
        <v>4.9400000000000004</v>
      </c>
      <c r="G167">
        <v>29116</v>
      </c>
    </row>
    <row r="168" spans="1:7" x14ac:dyDescent="0.25">
      <c r="A168" s="1">
        <v>45733</v>
      </c>
      <c r="B168" t="s">
        <v>9</v>
      </c>
      <c r="C168">
        <v>1077</v>
      </c>
      <c r="D168">
        <v>216</v>
      </c>
      <c r="E168">
        <v>12447</v>
      </c>
      <c r="F168">
        <v>1.8</v>
      </c>
      <c r="G168">
        <v>14068</v>
      </c>
    </row>
    <row r="169" spans="1:7" x14ac:dyDescent="0.25">
      <c r="A169" s="1">
        <v>45733</v>
      </c>
      <c r="B169" t="s">
        <v>10</v>
      </c>
      <c r="C169">
        <v>1596</v>
      </c>
      <c r="D169">
        <v>211</v>
      </c>
      <c r="E169">
        <v>17380</v>
      </c>
      <c r="F169">
        <v>8.64</v>
      </c>
      <c r="G169">
        <v>35801</v>
      </c>
    </row>
    <row r="170" spans="1:7" x14ac:dyDescent="0.25">
      <c r="A170" s="1">
        <v>45740</v>
      </c>
      <c r="B170" t="s">
        <v>7</v>
      </c>
      <c r="C170">
        <v>490</v>
      </c>
      <c r="D170">
        <v>29</v>
      </c>
      <c r="E170">
        <v>364810</v>
      </c>
      <c r="F170">
        <v>1.53</v>
      </c>
      <c r="G170">
        <v>49077</v>
      </c>
    </row>
    <row r="171" spans="1:7" x14ac:dyDescent="0.25">
      <c r="A171" s="1">
        <v>45740</v>
      </c>
      <c r="B171" t="s">
        <v>8</v>
      </c>
      <c r="C171">
        <v>609</v>
      </c>
      <c r="D171">
        <v>135</v>
      </c>
      <c r="E171">
        <v>373606</v>
      </c>
      <c r="F171">
        <v>8.52</v>
      </c>
      <c r="G171">
        <v>21453</v>
      </c>
    </row>
    <row r="172" spans="1:7" x14ac:dyDescent="0.25">
      <c r="A172" s="1">
        <v>45740</v>
      </c>
      <c r="B172" t="s">
        <v>9</v>
      </c>
      <c r="C172">
        <v>364</v>
      </c>
      <c r="D172">
        <v>72</v>
      </c>
      <c r="E172">
        <v>211090</v>
      </c>
      <c r="F172">
        <v>5.53</v>
      </c>
      <c r="G172">
        <v>21061</v>
      </c>
    </row>
    <row r="173" spans="1:7" x14ac:dyDescent="0.25">
      <c r="A173" s="1">
        <v>45740</v>
      </c>
      <c r="B173" t="s">
        <v>10</v>
      </c>
      <c r="C173">
        <v>442</v>
      </c>
      <c r="D173">
        <v>53</v>
      </c>
      <c r="E173">
        <v>441931</v>
      </c>
      <c r="F173">
        <v>1.87</v>
      </c>
      <c r="G173">
        <v>20059</v>
      </c>
    </row>
    <row r="174" spans="1:7" x14ac:dyDescent="0.25">
      <c r="A174" s="1">
        <v>45747</v>
      </c>
      <c r="B174" t="s">
        <v>7</v>
      </c>
      <c r="C174">
        <v>1033</v>
      </c>
      <c r="D174">
        <v>392</v>
      </c>
      <c r="E174">
        <v>282780</v>
      </c>
      <c r="F174">
        <v>6.27</v>
      </c>
      <c r="G174">
        <v>23140</v>
      </c>
    </row>
    <row r="175" spans="1:7" x14ac:dyDescent="0.25">
      <c r="A175" s="1">
        <v>45747</v>
      </c>
      <c r="B175" t="s">
        <v>8</v>
      </c>
      <c r="C175">
        <v>988</v>
      </c>
      <c r="D175">
        <v>474</v>
      </c>
      <c r="E175">
        <v>370070</v>
      </c>
      <c r="F175">
        <v>9.4600000000000009</v>
      </c>
      <c r="G175">
        <v>23461</v>
      </c>
    </row>
    <row r="176" spans="1:7" x14ac:dyDescent="0.25">
      <c r="A176" s="1">
        <v>45747</v>
      </c>
      <c r="B176" t="s">
        <v>9</v>
      </c>
      <c r="C176">
        <v>1946</v>
      </c>
      <c r="D176">
        <v>270</v>
      </c>
      <c r="E176">
        <v>198350</v>
      </c>
      <c r="F176">
        <v>7.5</v>
      </c>
      <c r="G176">
        <v>11805</v>
      </c>
    </row>
    <row r="177" spans="1:7" x14ac:dyDescent="0.25">
      <c r="A177" s="1">
        <v>45747</v>
      </c>
      <c r="B177" t="s">
        <v>10</v>
      </c>
      <c r="C177">
        <v>1957</v>
      </c>
      <c r="D177">
        <v>490</v>
      </c>
      <c r="E177">
        <v>435726</v>
      </c>
      <c r="F177">
        <v>4.7300000000000004</v>
      </c>
      <c r="G177">
        <v>15969</v>
      </c>
    </row>
    <row r="178" spans="1:7" x14ac:dyDescent="0.25">
      <c r="A178" s="1">
        <v>45754</v>
      </c>
      <c r="B178" t="s">
        <v>7</v>
      </c>
      <c r="C178">
        <v>559</v>
      </c>
      <c r="D178">
        <v>392</v>
      </c>
      <c r="E178">
        <v>78789</v>
      </c>
      <c r="F178">
        <v>3.19</v>
      </c>
      <c r="G178">
        <v>2436</v>
      </c>
    </row>
    <row r="179" spans="1:7" x14ac:dyDescent="0.25">
      <c r="A179" s="1">
        <v>45754</v>
      </c>
      <c r="B179" t="s">
        <v>8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</row>
    <row r="180" spans="1:7" x14ac:dyDescent="0.25">
      <c r="A180" s="1">
        <v>45754</v>
      </c>
      <c r="B180" t="s">
        <v>9</v>
      </c>
      <c r="C180">
        <v>1432</v>
      </c>
      <c r="D180">
        <v>425</v>
      </c>
      <c r="E180">
        <v>29589</v>
      </c>
      <c r="F180">
        <v>4.5</v>
      </c>
      <c r="G180">
        <v>42964</v>
      </c>
    </row>
    <row r="181" spans="1:7" x14ac:dyDescent="0.25">
      <c r="A181" s="1">
        <v>45754</v>
      </c>
      <c r="B181" t="s">
        <v>10</v>
      </c>
      <c r="C181">
        <v>623</v>
      </c>
      <c r="D181">
        <v>414</v>
      </c>
      <c r="E181">
        <v>290354</v>
      </c>
      <c r="F181">
        <v>6.49</v>
      </c>
      <c r="G181">
        <v>39923</v>
      </c>
    </row>
    <row r="182" spans="1:7" x14ac:dyDescent="0.25">
      <c r="A182" s="1">
        <v>45761</v>
      </c>
      <c r="B182" t="s">
        <v>7</v>
      </c>
      <c r="C182">
        <v>198</v>
      </c>
      <c r="D182">
        <v>358</v>
      </c>
      <c r="E182">
        <v>66682</v>
      </c>
      <c r="F182">
        <v>6.73</v>
      </c>
      <c r="G182">
        <v>2293</v>
      </c>
    </row>
    <row r="183" spans="1:7" x14ac:dyDescent="0.25">
      <c r="A183" s="1">
        <v>45761</v>
      </c>
      <c r="B183" t="s">
        <v>8</v>
      </c>
      <c r="C183">
        <v>198</v>
      </c>
      <c r="D183">
        <v>373</v>
      </c>
      <c r="E183">
        <v>70707</v>
      </c>
      <c r="F183">
        <v>4.83</v>
      </c>
      <c r="G183">
        <v>25920</v>
      </c>
    </row>
    <row r="184" spans="1:7" x14ac:dyDescent="0.25">
      <c r="A184" s="1">
        <v>45761</v>
      </c>
      <c r="B184" t="s">
        <v>9</v>
      </c>
      <c r="C184">
        <v>353</v>
      </c>
      <c r="D184">
        <v>300</v>
      </c>
      <c r="E184">
        <v>142507</v>
      </c>
      <c r="F184">
        <v>5.3</v>
      </c>
      <c r="G184">
        <v>11035</v>
      </c>
    </row>
    <row r="185" spans="1:7" x14ac:dyDescent="0.25">
      <c r="A185" s="1">
        <v>45761</v>
      </c>
      <c r="B185" t="s">
        <v>10</v>
      </c>
      <c r="C185">
        <v>520</v>
      </c>
      <c r="D185">
        <v>375</v>
      </c>
      <c r="E185">
        <v>369525</v>
      </c>
      <c r="F185">
        <v>6.54</v>
      </c>
      <c r="G185">
        <v>20733</v>
      </c>
    </row>
    <row r="186" spans="1:7" x14ac:dyDescent="0.25">
      <c r="A186" s="1">
        <v>45768</v>
      </c>
      <c r="B186" t="s">
        <v>7</v>
      </c>
      <c r="C186">
        <v>961</v>
      </c>
      <c r="D186">
        <v>358</v>
      </c>
      <c r="E186">
        <v>62942</v>
      </c>
      <c r="F186">
        <v>6.8</v>
      </c>
      <c r="G186">
        <v>18693</v>
      </c>
    </row>
    <row r="187" spans="1:7" x14ac:dyDescent="0.25">
      <c r="A187" s="1">
        <v>45768</v>
      </c>
      <c r="B187" t="s">
        <v>8</v>
      </c>
      <c r="C187">
        <v>1375</v>
      </c>
      <c r="D187">
        <v>330</v>
      </c>
      <c r="E187">
        <v>377382</v>
      </c>
      <c r="F187">
        <v>2.6</v>
      </c>
      <c r="G187">
        <v>7875</v>
      </c>
    </row>
    <row r="188" spans="1:7" x14ac:dyDescent="0.25">
      <c r="A188" s="1">
        <v>45768</v>
      </c>
      <c r="B188" t="s">
        <v>9</v>
      </c>
      <c r="C188">
        <v>1147</v>
      </c>
      <c r="D188">
        <v>388</v>
      </c>
      <c r="E188">
        <v>333851</v>
      </c>
      <c r="F188">
        <v>2.44</v>
      </c>
      <c r="G188">
        <v>8471</v>
      </c>
    </row>
    <row r="189" spans="1:7" x14ac:dyDescent="0.25">
      <c r="A189" s="1">
        <v>45768</v>
      </c>
      <c r="B189" t="s">
        <v>10</v>
      </c>
      <c r="C189">
        <v>1707</v>
      </c>
      <c r="D189">
        <v>74</v>
      </c>
      <c r="E189">
        <v>270958</v>
      </c>
      <c r="F189">
        <v>3.09</v>
      </c>
      <c r="G189">
        <v>14090</v>
      </c>
    </row>
    <row r="190" spans="1:7" x14ac:dyDescent="0.25">
      <c r="A190" s="1">
        <v>45775</v>
      </c>
      <c r="B190" t="s">
        <v>7</v>
      </c>
      <c r="C190">
        <v>1693</v>
      </c>
      <c r="D190">
        <v>154</v>
      </c>
      <c r="E190">
        <v>445944</v>
      </c>
      <c r="F190">
        <v>5.69</v>
      </c>
      <c r="G190">
        <v>14216</v>
      </c>
    </row>
    <row r="191" spans="1:7" x14ac:dyDescent="0.25">
      <c r="A191" s="1">
        <v>45775</v>
      </c>
      <c r="B191" t="s">
        <v>8</v>
      </c>
      <c r="C191">
        <v>833</v>
      </c>
      <c r="D191">
        <v>380</v>
      </c>
      <c r="E191">
        <v>224830</v>
      </c>
      <c r="F191">
        <v>3.86</v>
      </c>
      <c r="G191">
        <v>3582</v>
      </c>
    </row>
    <row r="192" spans="1:7" x14ac:dyDescent="0.25">
      <c r="A192" s="1">
        <v>45775</v>
      </c>
      <c r="B192" t="s">
        <v>9</v>
      </c>
      <c r="C192">
        <v>1222</v>
      </c>
      <c r="D192">
        <v>274</v>
      </c>
      <c r="E192">
        <v>487289</v>
      </c>
      <c r="F192">
        <v>3.16</v>
      </c>
      <c r="G192">
        <v>32500</v>
      </c>
    </row>
    <row r="193" spans="1:7" x14ac:dyDescent="0.25">
      <c r="A193" s="1">
        <v>45775</v>
      </c>
      <c r="B193" t="s">
        <v>10</v>
      </c>
      <c r="C193">
        <v>777</v>
      </c>
      <c r="D193">
        <v>140</v>
      </c>
      <c r="E193">
        <v>11435</v>
      </c>
      <c r="F193">
        <v>1.6</v>
      </c>
      <c r="G193">
        <v>6832</v>
      </c>
    </row>
    <row r="194" spans="1:7" x14ac:dyDescent="0.25">
      <c r="A194" s="1">
        <v>45782</v>
      </c>
      <c r="B194" t="s">
        <v>7</v>
      </c>
      <c r="C194">
        <v>1957</v>
      </c>
      <c r="D194">
        <v>76</v>
      </c>
      <c r="E194">
        <v>447902</v>
      </c>
      <c r="F194">
        <v>6.09</v>
      </c>
      <c r="G194">
        <v>33381</v>
      </c>
    </row>
    <row r="195" spans="1:7" x14ac:dyDescent="0.25">
      <c r="A195" s="1">
        <v>45782</v>
      </c>
      <c r="B195" t="s">
        <v>8</v>
      </c>
      <c r="C195">
        <v>405</v>
      </c>
      <c r="D195">
        <v>66</v>
      </c>
      <c r="E195">
        <v>418696</v>
      </c>
      <c r="F195">
        <v>5.59</v>
      </c>
      <c r="G195">
        <v>48419</v>
      </c>
    </row>
    <row r="196" spans="1:7" x14ac:dyDescent="0.25">
      <c r="A196" s="1">
        <v>45782</v>
      </c>
      <c r="B196" t="s">
        <v>9</v>
      </c>
      <c r="C196">
        <v>1581</v>
      </c>
      <c r="D196">
        <v>71</v>
      </c>
      <c r="E196">
        <v>484364</v>
      </c>
      <c r="F196">
        <v>3.55</v>
      </c>
      <c r="G196">
        <v>16149</v>
      </c>
    </row>
    <row r="197" spans="1:7" x14ac:dyDescent="0.25">
      <c r="A197" s="1">
        <v>45782</v>
      </c>
      <c r="B197" t="s">
        <v>10</v>
      </c>
      <c r="C197">
        <v>1035</v>
      </c>
      <c r="D197">
        <v>171</v>
      </c>
      <c r="E197">
        <v>148477</v>
      </c>
      <c r="F197">
        <v>5.21</v>
      </c>
      <c r="G197">
        <v>7541</v>
      </c>
    </row>
    <row r="198" spans="1:7" x14ac:dyDescent="0.25">
      <c r="A198" s="1">
        <v>45789</v>
      </c>
      <c r="B198" t="s">
        <v>7</v>
      </c>
      <c r="C198">
        <v>1765</v>
      </c>
      <c r="D198">
        <v>109</v>
      </c>
      <c r="E198">
        <v>468301</v>
      </c>
      <c r="F198">
        <v>1.82</v>
      </c>
      <c r="G198">
        <v>20042</v>
      </c>
    </row>
    <row r="199" spans="1:7" x14ac:dyDescent="0.25">
      <c r="A199" s="1">
        <v>45789</v>
      </c>
      <c r="B199" t="s">
        <v>8</v>
      </c>
      <c r="C199">
        <v>837</v>
      </c>
      <c r="D199">
        <v>430</v>
      </c>
      <c r="E199">
        <v>364820</v>
      </c>
      <c r="F199">
        <v>4</v>
      </c>
      <c r="G199">
        <v>49400</v>
      </c>
    </row>
    <row r="200" spans="1:7" x14ac:dyDescent="0.25">
      <c r="A200" s="1">
        <v>45789</v>
      </c>
      <c r="B200" t="s">
        <v>9</v>
      </c>
      <c r="C200">
        <v>337</v>
      </c>
      <c r="D200">
        <v>68</v>
      </c>
      <c r="E200">
        <v>456298</v>
      </c>
      <c r="F200">
        <v>7.57</v>
      </c>
      <c r="G200">
        <v>4007</v>
      </c>
    </row>
    <row r="201" spans="1:7" x14ac:dyDescent="0.25">
      <c r="A201" s="1">
        <v>45789</v>
      </c>
      <c r="B201" t="s">
        <v>10</v>
      </c>
      <c r="C201">
        <v>119</v>
      </c>
      <c r="D201">
        <v>456</v>
      </c>
      <c r="E201">
        <v>82558</v>
      </c>
      <c r="F201">
        <v>6.81</v>
      </c>
      <c r="G201">
        <v>12174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7F68-E959-4649-8543-7456FF8565B0}">
  <dimension ref="A3:B11"/>
  <sheetViews>
    <sheetView tabSelected="1"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27.5703125" bestFit="1" customWidth="1"/>
    <col min="3" max="3" width="16.7109375" bestFit="1" customWidth="1"/>
  </cols>
  <sheetData>
    <row r="3" spans="1:2" x14ac:dyDescent="0.25">
      <c r="A3" s="3" t="s">
        <v>11</v>
      </c>
      <c r="B3" t="s">
        <v>12</v>
      </c>
    </row>
    <row r="4" spans="1:2" x14ac:dyDescent="0.25">
      <c r="A4" s="4" t="s">
        <v>7</v>
      </c>
      <c r="B4" s="12">
        <v>5.7156000000000002</v>
      </c>
    </row>
    <row r="5" spans="1:2" x14ac:dyDescent="0.25">
      <c r="A5" s="4" t="s">
        <v>9</v>
      </c>
      <c r="B5" s="12">
        <v>5.6558000000000002</v>
      </c>
    </row>
    <row r="6" spans="1:2" x14ac:dyDescent="0.25">
      <c r="A6" s="4" t="s">
        <v>8</v>
      </c>
      <c r="B6" s="12">
        <v>5.6486000000000001</v>
      </c>
    </row>
    <row r="7" spans="1:2" x14ac:dyDescent="0.25">
      <c r="A7" s="4" t="s">
        <v>10</v>
      </c>
      <c r="B7" s="12">
        <v>5.5587999999999997</v>
      </c>
    </row>
    <row r="11" spans="1:2" ht="26.25" x14ac:dyDescent="0.4">
      <c r="B11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9A47-9D11-4581-A3A8-9F3F8B967D1D}">
  <dimension ref="A3:D11"/>
  <sheetViews>
    <sheetView workbookViewId="0">
      <selection activeCell="D7" sqref="D7"/>
    </sheetView>
  </sheetViews>
  <sheetFormatPr defaultRowHeight="15" x14ac:dyDescent="0.25"/>
  <cols>
    <col min="1" max="1" width="13.42578125" bestFit="1" customWidth="1"/>
    <col min="2" max="2" width="27.42578125" customWidth="1"/>
    <col min="3" max="3" width="21.42578125" bestFit="1" customWidth="1"/>
  </cols>
  <sheetData>
    <row r="3" spans="1:4" x14ac:dyDescent="0.25">
      <c r="A3" s="3" t="s">
        <v>11</v>
      </c>
      <c r="B3" t="s">
        <v>14</v>
      </c>
      <c r="C3" t="s">
        <v>15</v>
      </c>
      <c r="D3" s="5" t="s">
        <v>16</v>
      </c>
    </row>
    <row r="4" spans="1:4" x14ac:dyDescent="0.25">
      <c r="A4" s="4" t="s">
        <v>8</v>
      </c>
      <c r="B4">
        <v>496982</v>
      </c>
      <c r="C4">
        <v>23492</v>
      </c>
      <c r="D4">
        <f>B4-C4</f>
        <v>473490</v>
      </c>
    </row>
    <row r="5" spans="1:4" x14ac:dyDescent="0.25">
      <c r="A5" s="4" t="s">
        <v>7</v>
      </c>
      <c r="B5">
        <v>489188</v>
      </c>
      <c r="C5">
        <v>23664</v>
      </c>
      <c r="D5">
        <f t="shared" ref="D5:D7" si="0">B5-C5</f>
        <v>465524</v>
      </c>
    </row>
    <row r="6" spans="1:4" x14ac:dyDescent="0.25">
      <c r="A6" s="4" t="s">
        <v>9</v>
      </c>
      <c r="B6">
        <v>487896</v>
      </c>
      <c r="C6">
        <v>12447</v>
      </c>
      <c r="D6">
        <f t="shared" si="0"/>
        <v>475449</v>
      </c>
    </row>
    <row r="7" spans="1:4" x14ac:dyDescent="0.25">
      <c r="A7" s="4" t="s">
        <v>10</v>
      </c>
      <c r="B7">
        <v>488901</v>
      </c>
      <c r="C7">
        <v>11435</v>
      </c>
      <c r="D7">
        <f t="shared" si="0"/>
        <v>477466</v>
      </c>
    </row>
    <row r="11" spans="1:4" ht="36" customHeight="1" x14ac:dyDescent="0.3">
      <c r="B11" s="8" t="s">
        <v>17</v>
      </c>
      <c r="D11" s="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F862-0948-401A-84CC-B78B17524617}">
  <dimension ref="A1:E31"/>
  <sheetViews>
    <sheetView workbookViewId="0">
      <selection activeCell="C4" sqref="C4"/>
    </sheetView>
  </sheetViews>
  <sheetFormatPr defaultRowHeight="15" x14ac:dyDescent="0.25"/>
  <cols>
    <col min="1" max="1" width="10.5703125" customWidth="1"/>
    <col min="2" max="2" width="19.7109375" bestFit="1" customWidth="1"/>
    <col min="3" max="3" width="14.140625" bestFit="1" customWidth="1"/>
    <col min="5" max="5" width="43.140625" customWidth="1"/>
  </cols>
  <sheetData>
    <row r="1" spans="1:5" x14ac:dyDescent="0.25">
      <c r="A1" s="9" t="s">
        <v>1</v>
      </c>
      <c r="B1" s="9" t="s">
        <v>19</v>
      </c>
      <c r="C1" s="9" t="s">
        <v>20</v>
      </c>
    </row>
    <row r="2" spans="1:5" ht="30" customHeight="1" x14ac:dyDescent="0.25">
      <c r="A2" t="s">
        <v>7</v>
      </c>
      <c r="B2" s="10">
        <f>AVERAGEIF(Engagment_Summary[Platform],"Instagram",Engagment_Summary[Engagement_Rate])</f>
        <v>5.7156000000000002</v>
      </c>
      <c r="C2">
        <f>SUMIF(Engagment_Summary[Platform],"Instagram",Engagment_Summary[Ad_Spend])</f>
        <v>1164373</v>
      </c>
      <c r="E2" s="13" t="s">
        <v>21</v>
      </c>
    </row>
    <row r="3" spans="1:5" x14ac:dyDescent="0.25">
      <c r="A3" t="s">
        <v>8</v>
      </c>
      <c r="B3" s="10">
        <f>AVERAGEIF(Engagment_Summary[Platform],"Facebook",Engagment_Summary[Engagement_Rate])</f>
        <v>5.6486000000000001</v>
      </c>
      <c r="C3">
        <f>SUMIF(Engagment_Summary[Platform],"Facebook",Engagment_Summary[Ad_Spend])</f>
        <v>1379539</v>
      </c>
    </row>
    <row r="4" spans="1:5" x14ac:dyDescent="0.25">
      <c r="A4" t="s">
        <v>9</v>
      </c>
      <c r="B4" s="10">
        <f>AVERAGEIF(Engagment_Summary[Platform],"Twitter",Engagment_Summary[Engagement_Rate])</f>
        <v>5.6558000000000002</v>
      </c>
      <c r="C4">
        <f>SUMIF(Engagment_Summary[Platform],"Twitter",Engagment_Summary[Ad_Spend])</f>
        <v>1060357</v>
      </c>
    </row>
    <row r="5" spans="1:5" x14ac:dyDescent="0.25">
      <c r="A5" t="s">
        <v>10</v>
      </c>
      <c r="B5" s="10">
        <f>AVERAGEIF(Engagment_Summary[Platform],"YouTube",Engagment_Summary[Engagement_Rate])</f>
        <v>5.5587999999999997</v>
      </c>
      <c r="C5">
        <f>SUMIF(Engagment_Summary[Platform],"YouTube",Engagment_Summary[Ad_Spend])</f>
        <v>1228647</v>
      </c>
    </row>
    <row r="7" spans="1:5" x14ac:dyDescent="0.25">
      <c r="A7" s="6"/>
    </row>
    <row r="26" spans="2:2" x14ac:dyDescent="0.25">
      <c r="B26" s="5" t="s">
        <v>22</v>
      </c>
    </row>
    <row r="27" spans="2:2" x14ac:dyDescent="0.25">
      <c r="B27" s="5" t="s">
        <v>23</v>
      </c>
    </row>
    <row r="29" spans="2:2" ht="24" customHeight="1" x14ac:dyDescent="0.25">
      <c r="B29" s="5" t="s">
        <v>24</v>
      </c>
    </row>
    <row r="31" spans="2:2" x14ac:dyDescent="0.25">
      <c r="B31" s="11" t="s">
        <v>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91140F-59E0-4CDD-BEEC-084DC6C6F5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Engagment Summary</vt:lpstr>
      <vt:lpstr>high_Engagement</vt:lpstr>
      <vt:lpstr>Follower_growth</vt:lpstr>
      <vt:lpstr>scatter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 mahato</dc:creator>
  <cp:lastModifiedBy>amit kumar mahato</cp:lastModifiedBy>
  <dcterms:created xsi:type="dcterms:W3CDTF">2025-12-17T10:53:07Z</dcterms:created>
  <dcterms:modified xsi:type="dcterms:W3CDTF">2025-12-18T14:32:30Z</dcterms:modified>
</cp:coreProperties>
</file>